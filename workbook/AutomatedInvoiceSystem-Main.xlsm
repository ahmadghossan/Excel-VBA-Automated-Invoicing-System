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13_ncr:1_{56F134A6-2F84-41D7-92A7-BAB003CCE135}" xr6:coauthVersionLast="47" xr6:coauthVersionMax="47" xr10:uidLastSave="{00000000-0000-0000-0000-000000000000}"/>
  <bookViews>
    <workbookView xWindow="-120" yWindow="-120" windowWidth="29040" windowHeight="15720" activeTab="1" xr2:uid="{017F8815-80FA-4AD7-93B9-87DA21A4F4D4}"/>
  </bookViews>
  <sheets>
    <sheet name="Dashboard" sheetId="9" r:id="rId1"/>
    <sheet name="Manage Invoice" sheetId="12" r:id="rId2"/>
    <sheet name="Create Invoice" sheetId="10" r:id="rId3"/>
    <sheet name="Invoice Database" sheetId="3" r:id="rId4"/>
    <sheet name="Invoice Template" sheetId="1" r:id="rId5"/>
    <sheet name="Invoice Details" sheetId="11" r:id="rId6"/>
    <sheet name="Product Database" sheetId="4" r:id="rId7"/>
    <sheet name="Manage Product" sheetId="8" r:id="rId8"/>
    <sheet name="Manage Customer" sheetId="7" r:id="rId9"/>
    <sheet name="Customer Database" sheetId="2" r:id="rId10"/>
  </sheets>
  <functionGroups builtInGroupCount="19"/>
  <definedNames>
    <definedName name="_xlpm.cust" hidden="1" xlm="1">#NAME?</definedName>
    <definedName name="_xlpm.custMatch" hidden="1" xlm="1">#NAME?</definedName>
    <definedName name="_xlpm.data" hidden="1" xlm="1">#NAME?</definedName>
    <definedName name="_xlpm.invName" hidden="1" xlm="1">#NAME?</definedName>
    <definedName name="_xlpm.status" hidden="1" xlm="1">#NAME?</definedName>
    <definedName name="_xlpm.statusM" hidden="1" xlm="1">#NAME?</definedName>
    <definedName name="_xlpm.statusMa" hidden="1" xlm="1">#NAME?</definedName>
    <definedName name="_xlpm.statusMat" hidden="1" xlm="1">#NAME?</definedName>
    <definedName name="_xlpm.statusMatc" hidden="1" xlm="1">#NAME?</definedName>
    <definedName name="_xlpm.statusMatch" hidden="1" xlm="1">#NAME?</definedName>
    <definedName name="cust_name" localSheetId="0">CustomerList[Customer Company]</definedName>
    <definedName name="cust_name" localSheetId="1">CustomerList[Customer Company]</definedName>
    <definedName name="cust_name">CustomerList[Customer Company]</definedName>
    <definedName name="_xlnm.Print_Area" localSheetId="4">'Invoice Template'!$A$1:$K$48</definedName>
    <definedName name="selectedCust" localSheetId="1">'Manage Invoice'!#REF!</definedName>
    <definedName name="selectedCust">'Create Invoice'!$K$16</definedName>
    <definedName name="SelectedInvoice" localSheetId="1">'Manage Invoice'!#REF!</definedName>
    <definedName name="SelectedInvoice">'Create Invoice'!$J$6</definedName>
    <definedName name="tes" localSheetId="1">CustomerList[Customer Company]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R30" i="12" l="1"/>
  <c r="AR31" i="12"/>
  <c r="AR32" i="12"/>
  <c r="AR33" i="12"/>
  <c r="AR34" i="12"/>
  <c r="AR35" i="12"/>
  <c r="AR36" i="12"/>
  <c r="AR37" i="12"/>
  <c r="AR38" i="12"/>
  <c r="AR39" i="12"/>
  <c r="AQ30" i="12"/>
  <c r="AQ31" i="12"/>
  <c r="AQ32" i="12"/>
  <c r="AQ33" i="12"/>
  <c r="AQ34" i="12"/>
  <c r="AQ35" i="12"/>
  <c r="AQ36" i="12"/>
  <c r="AQ37" i="12"/>
  <c r="AQ38" i="12"/>
  <c r="AQ39" i="12"/>
  <c r="AN30" i="12"/>
  <c r="AM30" i="12" s="1"/>
  <c r="AN31" i="12"/>
  <c r="AN32" i="12"/>
  <c r="AN33" i="12"/>
  <c r="AM33" i="12" s="1"/>
  <c r="AN34" i="12"/>
  <c r="AN35" i="12"/>
  <c r="AM35" i="12" s="1"/>
  <c r="AN36" i="12"/>
  <c r="AM36" i="12" s="1"/>
  <c r="AN37" i="12"/>
  <c r="AM37" i="12" s="1"/>
  <c r="AN38" i="12"/>
  <c r="AM38" i="12" s="1"/>
  <c r="AN39" i="12"/>
  <c r="AM39" i="12" s="1"/>
  <c r="AM34" i="12"/>
  <c r="AM31" i="12"/>
  <c r="AM32" i="12"/>
  <c r="X31" i="12"/>
  <c r="X29" i="12"/>
  <c r="X28" i="12"/>
  <c r="X27" i="12"/>
  <c r="X26" i="12"/>
  <c r="X25" i="12"/>
  <c r="X30" i="12"/>
  <c r="H10" i="12"/>
  <c r="A14" i="12" a="1"/>
  <c r="A14" i="12" s="1"/>
  <c r="Y15" i="12" s="1" a="1"/>
  <c r="Y15" i="12" s="1"/>
  <c r="AP11" i="12" s="1" a="1"/>
  <c r="AP11" i="12" s="1"/>
  <c r="I10" i="12"/>
  <c r="J10" i="12"/>
  <c r="T18" i="10"/>
  <c r="T19" i="10"/>
  <c r="T25" i="10"/>
  <c r="T26" i="10"/>
  <c r="K33" i="10"/>
  <c r="N33" i="10"/>
  <c r="R33" i="10"/>
  <c r="U33" i="10" s="1"/>
  <c r="G34" i="10"/>
  <c r="K34" i="10"/>
  <c r="N34" i="10"/>
  <c r="R34" i="10"/>
  <c r="U34" i="10" s="1"/>
  <c r="G35" i="10"/>
  <c r="K35" i="10"/>
  <c r="N35" i="10"/>
  <c r="R35" i="10"/>
  <c r="U35" i="10" s="1"/>
  <c r="G36" i="10"/>
  <c r="K36" i="10"/>
  <c r="N36" i="10"/>
  <c r="R36" i="10"/>
  <c r="U36" i="10" s="1"/>
  <c r="G37" i="10"/>
  <c r="K37" i="10"/>
  <c r="N37" i="10"/>
  <c r="R37" i="10"/>
  <c r="U37" i="10" s="1"/>
  <c r="G38" i="10"/>
  <c r="K38" i="10"/>
  <c r="N38" i="10"/>
  <c r="R38" i="10"/>
  <c r="U38" i="10" s="1"/>
  <c r="G39" i="10"/>
  <c r="K39" i="10"/>
  <c r="N39" i="10"/>
  <c r="R39" i="10"/>
  <c r="U39" i="10" s="1"/>
  <c r="G40" i="10"/>
  <c r="K40" i="10"/>
  <c r="N40" i="10"/>
  <c r="R40" i="10"/>
  <c r="U40" i="10" s="1"/>
  <c r="G41" i="10"/>
  <c r="K41" i="10"/>
  <c r="N41" i="10"/>
  <c r="R41" i="10"/>
  <c r="U41" i="10" s="1"/>
  <c r="G42" i="10"/>
  <c r="K42" i="10"/>
  <c r="N42" i="10"/>
  <c r="R42" i="10"/>
  <c r="U42" i="10" s="1"/>
  <c r="G43" i="10"/>
  <c r="K43" i="10"/>
  <c r="N43" i="10"/>
  <c r="R43" i="10"/>
  <c r="U43" i="10" s="1"/>
  <c r="G44" i="10"/>
  <c r="K44" i="10"/>
  <c r="N44" i="10"/>
  <c r="R44" i="10"/>
  <c r="U44" i="10" s="1"/>
  <c r="G45" i="10"/>
  <c r="K45" i="10"/>
  <c r="N45" i="10"/>
  <c r="R45" i="10"/>
  <c r="U45" i="10" s="1"/>
  <c r="G46" i="10"/>
  <c r="K46" i="10"/>
  <c r="N46" i="10"/>
  <c r="R46" i="10"/>
  <c r="U46" i="10" s="1"/>
  <c r="G47" i="10"/>
  <c r="K47" i="10"/>
  <c r="N47" i="10"/>
  <c r="R47" i="10"/>
  <c r="U47" i="10" s="1"/>
  <c r="G48" i="10"/>
  <c r="K48" i="10"/>
  <c r="N48" i="10"/>
  <c r="R48" i="10"/>
  <c r="U48" i="10"/>
  <c r="E17" i="1"/>
  <c r="E13" i="1"/>
  <c r="E16" i="1"/>
  <c r="A25" i="1"/>
  <c r="A26" i="1"/>
  <c r="A27" i="1"/>
  <c r="A28" i="1"/>
  <c r="A29" i="1"/>
  <c r="A30" i="1"/>
  <c r="A31" i="1"/>
  <c r="A32" i="1"/>
  <c r="A33" i="1"/>
  <c r="A34" i="1"/>
  <c r="A35" i="1"/>
  <c r="A22" i="1"/>
  <c r="A23" i="1" s="1"/>
  <c r="A24" i="1" s="1"/>
  <c r="Y24" i="12" l="1" a="1"/>
  <c r="Y24" i="12" s="1"/>
  <c r="Y23" i="12" a="1"/>
  <c r="Y23" i="12" s="1"/>
  <c r="Y22" i="12" a="1"/>
  <c r="Y22" i="12" s="1"/>
  <c r="Y21" i="12" a="1"/>
  <c r="Y21" i="12" s="1"/>
  <c r="Y20" i="12" a="1"/>
  <c r="Y20" i="12" s="1"/>
  <c r="Y19" i="12" a="1"/>
  <c r="Y19" i="12" s="1"/>
  <c r="Y18" i="12" a="1"/>
  <c r="Y18" i="12" s="1"/>
  <c r="Y17" i="12" a="1"/>
  <c r="Y17" i="12" s="1"/>
  <c r="Y16" i="12" a="1"/>
  <c r="Y16" i="12" s="1"/>
  <c r="AG20" i="12" a="1"/>
  <c r="AG20" i="12" s="1"/>
  <c r="AE17" i="12" a="1"/>
  <c r="AE17" i="12" s="1"/>
  <c r="AA23" i="12" a="1"/>
  <c r="AA23" i="12" s="1"/>
  <c r="AA17" i="12" a="1"/>
  <c r="AA17" i="12" s="1"/>
  <c r="AG19" i="12" a="1"/>
  <c r="AG19" i="12" s="1"/>
  <c r="AG24" i="12" a="1"/>
  <c r="AG24" i="12" s="1"/>
  <c r="AA22" i="12" a="1"/>
  <c r="AA22" i="12" s="1"/>
  <c r="AE19" i="12" a="1"/>
  <c r="AE19" i="12" s="1"/>
  <c r="AE23" i="12" a="1"/>
  <c r="AE23" i="12" s="1"/>
  <c r="AE20" i="12" a="1"/>
  <c r="AE20" i="12" s="1"/>
  <c r="AG22" i="12" a="1"/>
  <c r="AG22" i="12" s="1"/>
  <c r="AE22" i="12" a="1"/>
  <c r="AE22" i="12" s="1"/>
  <c r="AG16" i="12" a="1"/>
  <c r="AG16" i="12" s="1"/>
  <c r="AE24" i="12" a="1"/>
  <c r="AE24" i="12" s="1"/>
  <c r="AG21" i="12" a="1"/>
  <c r="AG21" i="12" s="1"/>
  <c r="AA19" i="12" a="1"/>
  <c r="AA19" i="12" s="1"/>
  <c r="AG17" i="12" a="1"/>
  <c r="AG17" i="12" s="1"/>
  <c r="AE16" i="12" a="1"/>
  <c r="AE16" i="12" s="1"/>
  <c r="AA20" i="12" a="1"/>
  <c r="AA20" i="12" s="1"/>
  <c r="AA24" i="12" a="1"/>
  <c r="AA24" i="12" s="1"/>
  <c r="AE21" i="12" a="1"/>
  <c r="AE21" i="12" s="1"/>
  <c r="AG18" i="12" a="1"/>
  <c r="AG18" i="12" s="1"/>
  <c r="AA16" i="12" a="1"/>
  <c r="AA16" i="12" s="1"/>
  <c r="AA18" i="12" a="1"/>
  <c r="AA18" i="12" s="1"/>
  <c r="AG23" i="12" a="1"/>
  <c r="AG23" i="12" s="1"/>
  <c r="AA21" i="12" a="1"/>
  <c r="AA21" i="12" s="1"/>
  <c r="AE18" i="12" a="1"/>
  <c r="AE18" i="12" s="1"/>
  <c r="U51" i="10"/>
  <c r="U52" i="10" s="1"/>
  <c r="U53" i="10" s="1"/>
  <c r="U54" i="10" s="1"/>
  <c r="X16" i="12" l="1"/>
  <c r="X17" i="12" s="1"/>
  <c r="X18" i="12" s="1"/>
  <c r="X19" i="12" s="1"/>
  <c r="X20" i="12" s="1"/>
  <c r="X21" i="12" s="1"/>
  <c r="X22" i="12" s="1"/>
  <c r="X23" i="12" s="1"/>
  <c r="X24" i="12" s="1"/>
  <c r="J4" i="12"/>
  <c r="L8" i="12" s="1" a="1"/>
  <c r="AE15" i="12" a="1"/>
  <c r="AE15" i="12" s="1"/>
  <c r="AA15" i="12" a="1"/>
  <c r="AA15" i="12" s="1"/>
  <c r="AG15" i="12" a="1"/>
  <c r="AG15" i="12" s="1"/>
  <c r="J37" i="1"/>
  <c r="J38" i="1" s="1"/>
  <c r="J39" i="1" s="1"/>
  <c r="AN29" i="12" l="1"/>
  <c r="AR28" i="12"/>
  <c r="AR29" i="12"/>
  <c r="AQ29" i="12"/>
  <c r="AN28" i="12"/>
  <c r="AQ28" i="12"/>
  <c r="L8" i="12"/>
  <c r="AN26" i="12" s="1"/>
  <c r="AR26" i="12"/>
  <c r="AN27" i="12"/>
  <c r="AM27" i="12" s="1"/>
  <c r="AR27" i="12"/>
  <c r="AQ26" i="12"/>
  <c r="AQ27" i="12"/>
  <c r="AR19" i="12"/>
  <c r="AO13" i="12"/>
  <c r="AO18" i="12"/>
  <c r="AO14" i="12"/>
  <c r="AM18" i="12"/>
  <c r="AO21" i="12"/>
  <c r="J40" i="1"/>
  <c r="AM28" i="12" l="1"/>
  <c r="AM29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<sst xmlns="http://schemas.openxmlformats.org/spreadsheetml/2006/main" count="514" uniqueCount="325">
  <si>
    <t>INVOICE</t>
  </si>
  <si>
    <t>Invoice No.</t>
  </si>
  <si>
    <t>BILL TO</t>
  </si>
  <si>
    <t>No</t>
  </si>
  <si>
    <t>Description</t>
  </si>
  <si>
    <t>Qty</t>
  </si>
  <si>
    <t>Amount</t>
  </si>
  <si>
    <t/>
  </si>
  <si>
    <t>Subtotal</t>
  </si>
  <si>
    <t>TOTAL</t>
  </si>
  <si>
    <t>PAYMENT INFORMATION</t>
  </si>
  <si>
    <t>Po No.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</si>
  <si>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</si>
  <si>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</si>
  <si>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</si>
  <si>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</si>
  <si>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</si>
  <si>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</si>
  <si>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</si>
  <si>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</si>
  <si>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</si>
  <si>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</si>
  <si>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</si>
  <si>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</si>
  <si>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</si>
  <si>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</si>
  <si>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</si>
  <si>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</si>
  <si>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</si>
  <si>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</si>
  <si>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</si>
  <si>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</si>
  <si>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</si>
  <si>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</si>
  <si>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</si>
  <si>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</si>
  <si>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</si>
  <si>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</si>
  <si>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</si>
  <si>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</si>
  <si>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</si>
  <si>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</si>
  <si>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</si>
  <si>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</si>
  <si>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</si>
  <si>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</si>
  <si>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</si>
  <si>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</si>
  <si>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</si>
  <si>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</si>
  <si>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</si>
  <si>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</si>
  <si>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</si>
  <si>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</si>
  <si>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</si>
  <si>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</si>
  <si>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</si>
  <si>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</si>
  <si>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</si>
  <si>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</si>
  <si>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</si>
  <si>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</si>
  <si>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</si>
  <si>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</si>
  <si>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</si>
  <si>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</si>
  <si>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</si>
  <si>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</si>
  <si>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</si>
  <si>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</si>
  <si>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Stock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</si>
  <si>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</si>
  <si>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</si>
  <si>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</si>
  <si>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</si>
  <si>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</si>
  <si>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</si>
  <si>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</si>
  <si>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</si>
  <si>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</si>
  <si>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</si>
  <si>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</si>
  <si>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</si>
  <si>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</si>
  <si>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</si>
  <si>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</si>
  <si>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</si>
  <si>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</si>
  <si>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</si>
  <si>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</si>
  <si>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</si>
  <si>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</si>
  <si>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</si>
  <si>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</si>
  <si>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</si>
  <si>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</si>
  <si>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</si>
  <si>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</si>
  <si>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</si>
  <si>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</si>
  <si>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</si>
  <si>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</si>
  <si>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</si>
  <si>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</si>
  <si>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</si>
  <si>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</si>
  <si>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</si>
  <si>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</si>
  <si>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</si>
  <si>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</si>
  <si>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</si>
  <si>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</si>
  <si>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</si>
  <si>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</si>
  <si>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</si>
  <si>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</si>
  <si>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</si>
  <si>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</si>
  <si>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</si>
  <si>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</si>
  <si>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</si>
  <si>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</si>
  <si>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</si>
  <si>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</si>
  <si>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</si>
  <si>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</si>
  <si>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</si>
  <si>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</si>
  <si>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</si>
  <si>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</si>
  <si>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</si>
  <si>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</si>
  <si>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</si>
  <si>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</si>
  <si>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</si>
  <si>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</si>
  <si>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</si>
  <si>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</si>
  <si>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</si>
  <si>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</si>
  <si>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</si>
  <si>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</si>
  <si>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</si>
  <si>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</si>
  <si>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</si>
  <si>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</si>
  <si>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</si>
  <si>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</si>
  <si>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</si>
  <si>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</si>
  <si>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</si>
  <si>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</si>
  <si>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</si>
  <si>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</si>
  <si>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</si>
  <si>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</si>
  <si>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</si>
  <si>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</si>
  <si>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</si>
  <si>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</si>
  <si>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</si>
  <si>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</si>
  <si>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</si>
  <si>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</si>
  <si>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</si>
  <si>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</si>
  <si>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</si>
  <si>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</si>
  <si>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</si>
  <si>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</si>
  <si>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</si>
  <si>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</si>
  <si>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</si>
  <si>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</si>
  <si>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</si>
  <si>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</si>
  <si>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</si>
  <si>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</si>
  <si>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</si>
  <si>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</si>
  <si>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</si>
  <si>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</si>
  <si>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</si>
  <si>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</si>
  <si>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</si>
  <si>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</si>
  <si>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</si>
  <si>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</si>
  <si>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</si>
  <si>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</si>
  <si>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</si>
  <si>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</si>
  <si>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</si>
  <si>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</si>
  <si>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</si>
  <si>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</si>
  <si>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</si>
  <si>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</si>
  <si>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</si>
  <si>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</si>
  <si>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</si>
  <si>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</si>
  <si>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</si>
  <si>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</si>
  <si>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</si>
  <si>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</si>
  <si>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</si>
  <si>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</si>
  <si>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</si>
  <si>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</si>
  <si>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</si>
  <si>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</si>
  <si>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</si>
  <si>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</si>
  <si>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</si>
  <si>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</si>
  <si>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</si>
  <si>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</si>
  <si>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</si>
  <si>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</si>
  <si>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</si>
  <si>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</si>
  <si>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</si>
  <si>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</si>
  <si>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</si>
  <si>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</si>
  <si>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</si>
  <si>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</si>
  <si>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</si>
  <si>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</si>
  <si>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</si>
  <si>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</si>
  <si>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</si>
  <si>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</si>
  <si>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</si>
  <si>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</si>
  <si>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</si>
  <si>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</si>
  <si>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</si>
  <si>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</si>
  <si>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</si>
  <si>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</si>
  <si>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</si>
  <si>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</si>
  <si>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</si>
  <si>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</si>
  <si>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</si>
  <si>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</si>
  <si>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</si>
  <si>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</si>
  <si>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</si>
  <si>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</si>
  <si>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</si>
  <si>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</si>
  <si>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</si>
  <si>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</si>
  <si>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</si>
  <si>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</si>
  <si>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</si>
  <si>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</si>
  <si>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</si>
  <si>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</si>
  <si>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</si>
  <si>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</si>
  <si>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</si>
  <si>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</si>
  <si>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</si>
  <si>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</si>
  <si>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</si>
  <si>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</si>
  <si>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</si>
  <si>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</si>
  <si>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</si>
  <si>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INV-2026-PT Sinar Karya Abadi-8</t>
  </si>
  <si>
    <t>INV-2026-PT Arunika Retail Indonesia-9</t>
  </si>
  <si>
    <t>INV-2026-PT Citra Home Living-9</t>
  </si>
  <si>
    <t>INV-2026-PT Arunika Retail Indonesia-10</t>
  </si>
  <si>
    <t>INV-2026-PT Nusantara Mart Sejahtera-11</t>
  </si>
  <si>
    <t>INV-2026-PT Arunika Retail Indonesia-11</t>
  </si>
  <si>
    <t>INV-2026-PT Arunika Retail Indonesia-12</t>
  </si>
  <si>
    <t>INV-2026-PT Metro Perkasa Retail-12</t>
  </si>
  <si>
    <t>PO Number:</t>
  </si>
  <si>
    <t>INV-2026-PT XYZ-9</t>
  </si>
  <si>
    <t>INV-2026-PT Manado Lifestyle Center-10</t>
  </si>
  <si>
    <t>INV-2026-PT Makassar Retail Utama-11</t>
  </si>
  <si>
    <t>C:\Users\ahmad\Documents\Aku\Project\Excel-VBA-Automated-Invoicing-System\invoice\INV-2026-PT Makassar Retail Utama-11.pdf</t>
  </si>
  <si>
    <t>C:\Users\ahmad\Documents\Aku\Project\Excel-VBA-Automated-Invoicing-System\invoice\INV-2026-PT Sinar Karya Abadi-8.pdf</t>
  </si>
  <si>
    <t>Paid Amount</t>
  </si>
  <si>
    <t>Balance Amount</t>
  </si>
  <si>
    <t>INV-2026-PT XYZ-13</t>
  </si>
  <si>
    <t>Partially Paid</t>
  </si>
  <si>
    <t>INV-2026-PT Arunika Retail Indonesia-14</t>
  </si>
  <si>
    <t>Paid</t>
  </si>
  <si>
    <t>INV-2026-PT Sinar Karya Abadi-15</t>
  </si>
  <si>
    <t>Overdue</t>
  </si>
  <si>
    <t>INV-2026-PT Citra Home Living-16</t>
  </si>
  <si>
    <t>INV-2026-PT Prima Retail Bandung-17</t>
  </si>
  <si>
    <t>INV-2026-PT Sentra Belanja Jaya-18</t>
  </si>
  <si>
    <t>INV-2026-PT Karya Mitra Retail-19</t>
  </si>
  <si>
    <t>INV-2026-PT Metro Perkasa Retail-20</t>
  </si>
  <si>
    <t>INV-2026-PT Jogja Retail Makmur-21</t>
  </si>
  <si>
    <t>INV-2026-PT Bali Lifestyle Market-22</t>
  </si>
  <si>
    <t>Status:</t>
  </si>
  <si>
    <t xml:space="preserve"> </t>
  </si>
  <si>
    <t>Filter Helper</t>
  </si>
  <si>
    <t>All</t>
  </si>
  <si>
    <t>Aging:</t>
  </si>
  <si>
    <t>stat</t>
  </si>
  <si>
    <t>cust</t>
  </si>
  <si>
    <t>per</t>
  </si>
  <si>
    <t>ag</t>
  </si>
  <si>
    <t>Value</t>
  </si>
  <si>
    <t>Client</t>
  </si>
  <si>
    <t>Client:</t>
  </si>
  <si>
    <t>C:\Users\ahmad\Documents\Aku\Project\Excel-VBA-Automated-Invoicing-System\invoice\INV-2026-PT Manado Lifestyle Center-10.pdf</t>
  </si>
  <si>
    <t>#</t>
  </si>
  <si>
    <t>Item Description</t>
  </si>
  <si>
    <t>Rate</t>
  </si>
  <si>
    <t>Due Date:</t>
  </si>
  <si>
    <t>Total Amout</t>
  </si>
  <si>
    <t>Amount Paid</t>
  </si>
  <si>
    <t>Balance Due</t>
  </si>
  <si>
    <t>Issue Date:</t>
  </si>
  <si>
    <t>Inv No.</t>
  </si>
  <si>
    <t>(Your Company)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</si>
</sst>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Rp&quot;#,##0.00;\-&quot;Rp&quot;#,##0.00"/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-[$Rp-3809]* #,##0_-;\-[$Rp-3809]* #,##0_-;_-[$Rp-3809]* &quot;-&quot;??_-;_-@_-"/>
    <numFmt numFmtId="165" formatCode="&quot;Rp &quot;#,##0.00"/>
    <numFmt numFmtId="166" formatCode="&quot;Rp &quot;#,##0.00&quot;/Pcs&quot;"/>
    <numFmt numFmtId="167" formatCode="_-* #,##0_-;\-* #,##0_-;_-* &quot;-&quot;??_-;_-@_-"/>
    <numFmt numFmtId="168" formatCode="&quot;Rp&quot;#,##0.00"/>
    <numFmt numFmtId="169" formatCode="[$-F800]dddd\,\ mmmm\ dd\,\ yyyy"/>
    <numFmt numFmtId="170" formatCode="_-&quot;Rp&quot;* #,##0_-;\-&quot;Rp&quot;* #,##0_-;_-&quot;Rp&quot;* &quot;-&quot;??_-;_-@_-"/>
  </numFmts>
  <fonts count="3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b/>
      <sz val="11"/>
      <color theme="1" tint="0.1499984740745262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0"/>
      <color theme="3" tint="0.249977111117893"/>
      <name val="Aptos Narrow"/>
      <family val="2"/>
      <scheme val="minor"/>
    </font>
    <font>
      <b/>
      <sz val="12"/>
      <color theme="4" tint="-0.499984740745262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11"/>
      <color theme="2" tint="-0.8999908444471571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  <fill>
      <patternFill patternType="solid">
        <fgColor rgb="FFF2F2F2"/>
      </patternFill>
    </fill>
    <fill>
      <patternFill patternType="solid">
        <fgColor rgb="FFF7F7F7"/>
        <bgColor indexed="64"/>
      </patternFill>
    </fill>
    <fill>
      <patternFill patternType="solid">
        <fgColor rgb="FFA5A5A5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/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20" fillId="8" borderId="24" applyNumberFormat="0" applyAlignment="0" applyProtection="0"/>
    <xf numFmtId="43" fontId="19" fillId="0" borderId="0" applyFont="0" applyFill="0" applyBorder="0" applyAlignment="0" applyProtection="0"/>
    <xf numFmtId="0" fontId="32" fillId="10" borderId="29" applyNumberFormat="0" applyAlignment="0" applyProtection="0"/>
  </cellStyleXfs>
  <cellXfs count="232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14" fillId="2" borderId="0" xfId="0" applyFont="1" applyFill="1" applyBorder="1"/>
    <xf numFmtId="0" fontId="13" fillId="2" borderId="0" xfId="0" applyFont="1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7" borderId="0" xfId="0" applyFill="1"/>
    <xf numFmtId="0" fontId="15" fillId="4" borderId="0" xfId="0" applyFont="1" applyFill="1" applyBorder="1"/>
    <xf numFmtId="0" fontId="15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6" fillId="6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7" borderId="0" xfId="0" applyFont="1" applyFill="1"/>
    <xf numFmtId="0" fontId="15" fillId="6" borderId="9" xfId="0" applyFont="1" applyFill="1" applyBorder="1"/>
    <xf numFmtId="0" fontId="15" fillId="6" borderId="4" xfId="0" applyFont="1" applyFill="1" applyBorder="1"/>
    <xf numFmtId="0" fontId="15" fillId="6" borderId="4" xfId="0" applyFont="1" applyFill="1" applyBorder="1" applyAlignment="1">
      <alignment horizontal="right"/>
    </xf>
    <xf numFmtId="0" fontId="15" fillId="6" borderId="8" xfId="0" applyFont="1" applyFill="1" applyBorder="1"/>
    <xf numFmtId="0" fontId="15" fillId="6" borderId="0" xfId="0" applyFont="1" applyFill="1"/>
    <xf numFmtId="0" fontId="18" fillId="7" borderId="0" xfId="0" applyFont="1" applyFill="1" applyBorder="1"/>
    <xf numFmtId="0" fontId="18" fillId="4" borderId="0" xfId="0" applyFont="1" applyFill="1" applyBorder="1"/>
    <xf numFmtId="0" fontId="15" fillId="6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15" fillId="6" borderId="8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 vertical="center"/>
    </xf>
    <xf numFmtId="0" fontId="17" fillId="6" borderId="4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 applyFont="1"/>
    <xf numFmtId="164" fontId="0" fillId="0" borderId="0" xfId="0" applyNumberFormat="1"/>
    <xf numFmtId="0" fontId="15" fillId="6" borderId="4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6" borderId="4" xfId="0" applyFont="1" applyFill="1" applyBorder="1"/>
    <xf numFmtId="0" fontId="6" fillId="0" borderId="2" xfId="0" applyFont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/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center"/>
    </xf>
    <xf numFmtId="0" fontId="7" fillId="0" borderId="22" xfId="0" applyFont="1" applyBorder="1" applyAlignment="1">
      <alignment horizontal="left" vertical="center" wrapText="1"/>
    </xf>
    <xf numFmtId="14" fontId="7" fillId="0" borderId="22" xfId="0" applyNumberFormat="1" applyFont="1" applyBorder="1" applyAlignment="1">
      <alignment horizontal="left" vertical="center" wrapText="1"/>
    </xf>
    <xf numFmtId="0" fontId="7" fillId="0" borderId="23" xfId="0" applyFont="1" applyBorder="1" applyAlignment="1">
      <alignment horizontal="left" vertical="center" wrapText="1"/>
    </xf>
    <xf numFmtId="14" fontId="7" fillId="0" borderId="23" xfId="0" applyNumberFormat="1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vertical="center" wrapText="1"/>
    </xf>
    <xf numFmtId="44" fontId="1" fillId="0" borderId="0" xfId="2" applyFont="1"/>
    <xf numFmtId="44" fontId="0" fillId="0" borderId="0" xfId="2" applyFont="1"/>
    <xf numFmtId="14" fontId="1" fillId="0" borderId="0" xfId="0" applyNumberFormat="1" applyFont="1"/>
    <xf numFmtId="0" fontId="20" fillId="8" borderId="24" xfId="3"/>
    <xf numFmtId="167" fontId="0" fillId="2" borderId="0" xfId="4" applyNumberFormat="1" applyFont="1" applyFill="1" applyBorder="1"/>
    <xf numFmtId="167" fontId="0" fillId="4" borderId="0" xfId="4" applyNumberFormat="1" applyFont="1" applyFill="1"/>
    <xf numFmtId="0" fontId="0" fillId="4" borderId="0" xfId="0" applyFill="1"/>
    <xf numFmtId="0" fontId="14" fillId="4" borderId="0" xfId="0" applyFont="1" applyFill="1" applyBorder="1"/>
    <xf numFmtId="0" fontId="13" fillId="4" borderId="0" xfId="0" applyFont="1" applyFill="1" applyBorder="1"/>
    <xf numFmtId="0" fontId="0" fillId="9" borderId="0" xfId="0" applyFill="1"/>
    <xf numFmtId="0" fontId="0" fillId="9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15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 vertical="center"/>
    </xf>
    <xf numFmtId="44" fontId="0" fillId="4" borderId="0" xfId="2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44" fontId="0" fillId="9" borderId="0" xfId="2" applyFont="1" applyFill="1" applyBorder="1" applyAlignment="1">
      <alignment horizontal="center" vertical="center"/>
    </xf>
    <xf numFmtId="0" fontId="0" fillId="9" borderId="0" xfId="0" applyFill="1" applyBorder="1"/>
    <xf numFmtId="0" fontId="21" fillId="4" borderId="0" xfId="0" applyFont="1" applyFill="1" applyBorder="1"/>
    <xf numFmtId="0" fontId="21" fillId="9" borderId="0" xfId="0" applyFont="1" applyFill="1" applyBorder="1"/>
    <xf numFmtId="0" fontId="0" fillId="4" borderId="27" xfId="0" applyFill="1" applyBorder="1"/>
    <xf numFmtId="0" fontId="23" fillId="4" borderId="0" xfId="0" applyFont="1" applyFill="1" applyBorder="1" applyAlignment="1">
      <alignment horizontal="right"/>
    </xf>
    <xf numFmtId="0" fontId="23" fillId="4" borderId="0" xfId="0" applyFont="1" applyFill="1" applyAlignment="1">
      <alignment horizontal="right"/>
    </xf>
    <xf numFmtId="0" fontId="26" fillId="4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14" fontId="28" fillId="4" borderId="0" xfId="0" applyNumberFormat="1" applyFont="1" applyFill="1" applyBorder="1" applyAlignment="1">
      <alignment vertical="center"/>
    </xf>
    <xf numFmtId="14" fontId="28" fillId="4" borderId="0" xfId="0" applyNumberFormat="1" applyFont="1" applyFill="1" applyBorder="1" applyAlignment="1">
      <alignment vertical="center" wrapText="1"/>
    </xf>
    <xf numFmtId="0" fontId="30" fillId="4" borderId="0" xfId="0" applyFont="1" applyFill="1" applyBorder="1"/>
    <xf numFmtId="0" fontId="30" fillId="4" borderId="0" xfId="0" applyFont="1" applyFill="1" applyBorder="1" applyAlignment="1">
      <alignment horizontal="left"/>
    </xf>
    <xf numFmtId="0" fontId="30" fillId="4" borderId="0" xfId="0" applyFont="1" applyFill="1"/>
    <xf numFmtId="0" fontId="30" fillId="4" borderId="28" xfId="0" applyFont="1" applyFill="1" applyBorder="1"/>
    <xf numFmtId="0" fontId="30" fillId="4" borderId="28" xfId="0" applyFont="1" applyFill="1" applyBorder="1" applyAlignment="1">
      <alignment horizontal="left"/>
    </xf>
    <xf numFmtId="0" fontId="30" fillId="4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vertical="top" wrapText="1"/>
    </xf>
    <xf numFmtId="0" fontId="0" fillId="4" borderId="25" xfId="0" applyFill="1" applyBorder="1"/>
    <xf numFmtId="0" fontId="27" fillId="4" borderId="0" xfId="0" applyFont="1" applyFill="1" applyBorder="1" applyAlignment="1">
      <alignment horizontal="center" vertical="center"/>
    </xf>
    <xf numFmtId="0" fontId="27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29" fillId="4" borderId="0" xfId="0" applyFont="1" applyFill="1" applyAlignment="1">
      <alignment vertical="top"/>
    </xf>
    <xf numFmtId="0" fontId="0" fillId="4" borderId="0" xfId="0" applyFill="1" applyAlignment="1"/>
    <xf numFmtId="0" fontId="0" fillId="4" borderId="26" xfId="0" applyFill="1" applyBorder="1" applyAlignment="1">
      <alignment horizontal="center" vertical="center"/>
    </xf>
    <xf numFmtId="167" fontId="32" fillId="10" borderId="29" xfId="5" applyNumberFormat="1"/>
    <xf numFmtId="0" fontId="32" fillId="10" borderId="29" xfId="5"/>
    <xf numFmtId="14" fontId="32" fillId="10" borderId="29" xfId="5" applyNumberFormat="1"/>
    <xf numFmtId="0" fontId="32" fillId="10" borderId="29" xfId="5" applyNumberFormat="1" applyAlignment="1">
      <alignment horizontal="center" vertical="center"/>
    </xf>
    <xf numFmtId="44" fontId="32" fillId="10" borderId="29" xfId="5" applyNumberFormat="1"/>
    <xf numFmtId="167" fontId="0" fillId="4" borderId="26" xfId="0" quotePrefix="1" applyNumberFormat="1" applyFill="1" applyBorder="1" applyAlignment="1">
      <alignment wrapText="1"/>
    </xf>
    <xf numFmtId="170" fontId="0" fillId="4" borderId="26" xfId="2" applyNumberFormat="1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0" fillId="4" borderId="25" xfId="0" applyFill="1" applyBorder="1"/>
    <xf numFmtId="14" fontId="28" fillId="4" borderId="25" xfId="0" applyNumberFormat="1" applyFont="1" applyFill="1" applyBorder="1" applyAlignment="1">
      <alignment horizontal="center" vertical="center"/>
    </xf>
    <xf numFmtId="14" fontId="28" fillId="4" borderId="26" xfId="0" applyNumberFormat="1" applyFont="1" applyFill="1" applyBorder="1" applyAlignment="1">
      <alignment horizontal="center" vertical="center"/>
    </xf>
    <xf numFmtId="0" fontId="28" fillId="4" borderId="25" xfId="0" applyNumberFormat="1" applyFont="1" applyFill="1" applyBorder="1" applyAlignment="1">
      <alignment horizontal="center" vertical="center"/>
    </xf>
    <xf numFmtId="44" fontId="28" fillId="4" borderId="25" xfId="2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horizontal="left"/>
    </xf>
    <xf numFmtId="0" fontId="25" fillId="7" borderId="0" xfId="0" applyFont="1" applyFill="1" applyBorder="1" applyAlignment="1">
      <alignment horizontal="left"/>
    </xf>
    <xf numFmtId="0" fontId="28" fillId="4" borderId="26" xfId="0" applyNumberFormat="1" applyFont="1" applyFill="1" applyBorder="1" applyAlignment="1">
      <alignment horizontal="center" vertical="center"/>
    </xf>
    <xf numFmtId="44" fontId="28" fillId="4" borderId="26" xfId="2" applyFont="1" applyFill="1" applyBorder="1" applyAlignment="1">
      <alignment horizontal="center" vertical="center"/>
    </xf>
    <xf numFmtId="168" fontId="0" fillId="4" borderId="0" xfId="2" applyNumberFormat="1" applyFont="1" applyFill="1" applyBorder="1" applyAlignment="1">
      <alignment horizontal="center" vertical="top"/>
    </xf>
    <xf numFmtId="0" fontId="30" fillId="4" borderId="0" xfId="0" applyFont="1" applyFill="1" applyBorder="1" applyAlignment="1">
      <alignment horizontal="center"/>
    </xf>
    <xf numFmtId="0" fontId="30" fillId="4" borderId="0" xfId="0" applyFont="1" applyFill="1" applyBorder="1" applyAlignment="1">
      <alignment horizontal="left"/>
    </xf>
    <xf numFmtId="0" fontId="29" fillId="4" borderId="0" xfId="0" applyNumberFormat="1" applyFont="1" applyFill="1" applyAlignment="1">
      <alignment horizontal="right" vertical="top"/>
    </xf>
    <xf numFmtId="0" fontId="29" fillId="4" borderId="0" xfId="0" applyFont="1" applyFill="1" applyAlignment="1">
      <alignment horizontal="left" vertical="top"/>
    </xf>
    <xf numFmtId="168" fontId="31" fillId="4" borderId="0" xfId="2" applyNumberFormat="1" applyFont="1" applyFill="1" applyBorder="1" applyAlignment="1">
      <alignment horizontal="center" vertical="top"/>
    </xf>
    <xf numFmtId="169" fontId="0" fillId="4" borderId="0" xfId="0" applyNumberFormat="1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top" wrapText="1"/>
    </xf>
    <xf numFmtId="0" fontId="30" fillId="4" borderId="0" xfId="0" applyFont="1" applyFill="1" applyBorder="1" applyAlignment="1">
      <alignment horizontal="center" vertical="center"/>
    </xf>
    <xf numFmtId="164" fontId="15" fillId="6" borderId="4" xfId="0" applyNumberFormat="1" applyFont="1" applyFill="1" applyBorder="1"/>
    <xf numFmtId="0" fontId="15" fillId="6" borderId="4" xfId="0" applyFont="1" applyFill="1" applyBorder="1"/>
    <xf numFmtId="164" fontId="17" fillId="6" borderId="4" xfId="0" applyNumberFormat="1" applyFont="1" applyFill="1" applyBorder="1"/>
    <xf numFmtId="0" fontId="17" fillId="6" borderId="4" xfId="0" applyFont="1" applyFill="1" applyBorder="1"/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164" fontId="15" fillId="6" borderId="4" xfId="0" applyNumberFormat="1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164" fontId="15" fillId="6" borderId="8" xfId="0" applyNumberFormat="1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165" fontId="15" fillId="6" borderId="4" xfId="0" applyNumberFormat="1" applyFont="1" applyFill="1" applyBorder="1" applyAlignment="1">
      <alignment horizontal="center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center"/>
    </xf>
    <xf numFmtId="0" fontId="15" fillId="6" borderId="4" xfId="0" applyFont="1" applyFill="1" applyBorder="1" applyAlignment="1">
      <alignment horizontal="left" vertical="center"/>
    </xf>
    <xf numFmtId="0" fontId="15" fillId="4" borderId="13" xfId="0" applyNumberFormat="1" applyFont="1" applyFill="1" applyBorder="1" applyAlignment="1">
      <alignment horizontal="left" vertical="center"/>
    </xf>
    <xf numFmtId="0" fontId="15" fillId="4" borderId="14" xfId="0" applyNumberFormat="1" applyFont="1" applyFill="1" applyBorder="1" applyAlignment="1">
      <alignment horizontal="left" vertical="center"/>
    </xf>
    <xf numFmtId="0" fontId="15" fillId="4" borderId="15" xfId="0" applyNumberFormat="1" applyFont="1" applyFill="1" applyBorder="1" applyAlignment="1">
      <alignment horizontal="left" vertical="center"/>
    </xf>
    <xf numFmtId="0" fontId="15" fillId="6" borderId="8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top" wrapText="1"/>
    </xf>
    <xf numFmtId="0" fontId="15" fillId="6" borderId="0" xfId="0" applyFont="1" applyFill="1" applyBorder="1" applyAlignment="1">
      <alignment horizontal="left" vertical="top" wrapText="1"/>
    </xf>
    <xf numFmtId="0" fontId="15" fillId="6" borderId="9" xfId="0" applyFont="1" applyFill="1" applyBorder="1" applyAlignment="1">
      <alignment horizontal="left" vertical="top" wrapText="1"/>
    </xf>
    <xf numFmtId="0" fontId="15" fillId="4" borderId="10" xfId="0" applyFont="1" applyFill="1" applyBorder="1" applyAlignment="1">
      <alignment horizontal="left"/>
    </xf>
    <xf numFmtId="0" fontId="15" fillId="4" borderId="11" xfId="0" applyFont="1" applyFill="1" applyBorder="1" applyAlignment="1">
      <alignment horizontal="left"/>
    </xf>
    <xf numFmtId="0" fontId="15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left" vertical="top"/>
    </xf>
    <xf numFmtId="0" fontId="15" fillId="6" borderId="4" xfId="0" applyFont="1" applyFill="1" applyBorder="1" applyAlignment="1">
      <alignment horizontal="right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left"/>
    </xf>
    <xf numFmtId="0" fontId="15" fillId="4" borderId="19" xfId="0" applyFont="1" applyFill="1" applyBorder="1" applyAlignment="1">
      <alignment horizontal="left" vertical="center"/>
    </xf>
    <xf numFmtId="0" fontId="15" fillId="4" borderId="20" xfId="0" applyFont="1" applyFill="1" applyBorder="1" applyAlignment="1">
      <alignment horizontal="left" vertical="center"/>
    </xf>
    <xf numFmtId="14" fontId="15" fillId="4" borderId="19" xfId="0" applyNumberFormat="1" applyFont="1" applyFill="1" applyBorder="1" applyAlignment="1">
      <alignment horizontal="left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44" fontId="4" fillId="0" borderId="2" xfId="2" applyFont="1" applyBorder="1" applyAlignment="1">
      <alignment horizontal="center" vertical="center" wrapText="1"/>
    </xf>
    <xf numFmtId="44" fontId="4" fillId="0" borderId="3" xfId="2" applyFont="1" applyBorder="1" applyAlignment="1">
      <alignment horizontal="center" vertical="center" wrapText="1"/>
    </xf>
    <xf numFmtId="0" fontId="4" fillId="0" borderId="21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44" fontId="6" fillId="0" borderId="0" xfId="2" applyFont="1" applyBorder="1" applyAlignment="1">
      <alignment vertical="center" wrapText="1"/>
    </xf>
    <xf numFmtId="44" fontId="7" fillId="0" borderId="0" xfId="2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166" fontId="15" fillId="4" borderId="0" xfId="0" applyNumberFormat="1" applyFont="1" applyFill="1" applyBorder="1"/>
    <xf numFmtId="0" fontId="15" fillId="4" borderId="0" xfId="0" applyFont="1" applyFill="1" applyBorder="1"/>
    <xf numFmtId="7" fontId="0" fillId="0" borderId="0" xfId="2" applyNumberFormat="1" applyFont="1"/>
  </cellXfs>
  <cellStyles count="6">
    <cellStyle name="Calculation" xfId="3" builtinId="22"/>
    <cellStyle name="Check Cell" xfId="5" builtinId="23"/>
    <cellStyle name="Comma" xfId="4" builtinId="3"/>
    <cellStyle name="Currency" xfId="2" builtinId="4"/>
    <cellStyle name="Hyperlink" xfId="1" builtinId="8"/>
    <cellStyle name="Normal" xfId="0" builtinId="0"/>
  </cellStyles>
  <dxfs count="24">
    <dxf>
      <fill>
        <patternFill patternType="darkGrid">
          <fgColor rgb="FFFF9797"/>
          <bgColor auto="1"/>
        </patternFill>
      </fill>
    </dxf>
    <dxf>
      <fill>
        <patternFill patternType="darkGrid">
          <fgColor rgb="FFFF9797"/>
          <bgColor auto="1"/>
        </patternFill>
      </fill>
    </dxf>
    <dxf>
      <fill>
        <patternFill>
          <bgColor theme="4" tint="0.79998168889431442"/>
        </patternFill>
      </fill>
    </dxf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9F9F9"/>
      <color rgb="FFF7F7F7"/>
      <color rgb="FFEEF5FC"/>
      <color rgb="FFEAEAEA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croll" dx="22" fmlaLink="'Manage Invoice'!$R$14" max="6" page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9.png"/><Relationship Id="rId7" Type="http://schemas.openxmlformats.org/officeDocument/2006/relationships/image" Target="../media/image3.pn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svg"/><Relationship Id="rId13" Type="http://schemas.openxmlformats.org/officeDocument/2006/relationships/image" Target="../media/image21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10.svg"/><Relationship Id="rId2" Type="http://schemas.openxmlformats.org/officeDocument/2006/relationships/image" Target="../media/image14.svg"/><Relationship Id="rId16" Type="http://schemas.openxmlformats.org/officeDocument/2006/relationships/image" Target="../media/image2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11" Type="http://schemas.openxmlformats.org/officeDocument/2006/relationships/image" Target="../media/image9.png"/><Relationship Id="rId5" Type="http://schemas.openxmlformats.org/officeDocument/2006/relationships/image" Target="../media/image17.png"/><Relationship Id="rId15" Type="http://schemas.openxmlformats.org/officeDocument/2006/relationships/image" Target="../media/image23.png"/><Relationship Id="rId10" Type="http://schemas.openxmlformats.org/officeDocument/2006/relationships/hyperlink" Target="#'Create Invoice'!A1"/><Relationship Id="rId4" Type="http://schemas.openxmlformats.org/officeDocument/2006/relationships/image" Target="../media/image16.svg"/><Relationship Id="rId9" Type="http://schemas.openxmlformats.org/officeDocument/2006/relationships/hyperlink" Target="#Dashboard!A1"/><Relationship Id="rId1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sv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svg"/><Relationship Id="rId1" Type="http://schemas.openxmlformats.org/officeDocument/2006/relationships/image" Target="../media/image25.png"/><Relationship Id="rId6" Type="http://schemas.openxmlformats.org/officeDocument/2006/relationships/image" Target="../media/image30.svg"/><Relationship Id="rId5" Type="http://schemas.openxmlformats.org/officeDocument/2006/relationships/image" Target="../media/image29.png"/><Relationship Id="rId10" Type="http://schemas.openxmlformats.org/officeDocument/2006/relationships/image" Target="../media/image34.svg"/><Relationship Id="rId4" Type="http://schemas.openxmlformats.org/officeDocument/2006/relationships/image" Target="../media/image28.svg"/><Relationship Id="rId9" Type="http://schemas.openxmlformats.org/officeDocument/2006/relationships/image" Target="../media/image3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6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35.png"/><Relationship Id="rId5" Type="http://schemas.openxmlformats.org/officeDocument/2006/relationships/image" Target="../media/image9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0" Type="http://schemas.openxmlformats.org/officeDocument/2006/relationships/image" Target="../media/image38.svg"/><Relationship Id="rId4" Type="http://schemas.openxmlformats.org/officeDocument/2006/relationships/hyperlink" Target="#'Manage Product'!A1"/><Relationship Id="rId9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4330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1F7D-A2B0-43D0-BE8B-1335D944474F}"/>
            </a:ext>
          </a:extLst>
        </xdr:cNvPr>
        <xdr:cNvSpPr txBox="1"/>
      </xdr:nvSpPr>
      <xdr:spPr>
        <a:xfrm>
          <a:off x="5953" y="992332"/>
          <a:ext cx="1435786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F0D82E-DBF2-4FFE-8555-2AF515486248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324716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7B0CF-4C2E-456D-80C2-413FB24CE4AF}"/>
            </a:ext>
          </a:extLst>
        </xdr:cNvPr>
        <xdr:cNvSpPr txBox="1"/>
      </xdr:nvSpPr>
      <xdr:spPr>
        <a:xfrm>
          <a:off x="10379" y="1904102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34E3AF-5925-478D-8843-90FB6856CC08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CAEDF6D9-CC8E-40A2-BC82-A4AA5F398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248AF06-D113-43C0-9097-C8EE1B9B1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460F3F4-A7F0-4F19-915D-C095CEBF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F180EEB2-1B95-4EA4-BCCA-31B9B121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17818</xdr:colOff>
      <xdr:row>4</xdr:row>
      <xdr:rowOff>150796</xdr:rowOff>
    </xdr:from>
    <xdr:to>
      <xdr:col>0</xdr:col>
      <xdr:colOff>17818</xdr:colOff>
      <xdr:row>6</xdr:row>
      <xdr:rowOff>164095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18AE6A8-235F-46B6-BDB1-47CBEEBAF063}"/>
            </a:ext>
          </a:extLst>
        </xdr:cNvPr>
        <xdr:cNvCxnSpPr>
          <a:cxnSpLocks noChangeAspect="1"/>
        </xdr:cNvCxnSpPr>
      </xdr:nvCxnSpPr>
      <xdr:spPr>
        <a:xfrm>
          <a:off x="17818" y="99028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B9BB0B2-5250-4F65-AA68-7F9F026FDAD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1F110AA-F63C-4E25-998F-551DB7014E6E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241897</xdr:colOff>
      <xdr:row>0</xdr:row>
      <xdr:rowOff>16328</xdr:rowOff>
    </xdr:from>
    <xdr:to>
      <xdr:col>34</xdr:col>
      <xdr:colOff>404490</xdr:colOff>
      <xdr:row>2</xdr:row>
      <xdr:rowOff>76199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D539745-3CFE-403E-BE4E-A06D1E8E86D0}"/>
            </a:ext>
          </a:extLst>
        </xdr:cNvPr>
        <xdr:cNvSpPr txBox="1"/>
      </xdr:nvSpPr>
      <xdr:spPr>
        <a:xfrm>
          <a:off x="16836421" y="16328"/>
          <a:ext cx="2823860" cy="53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21</xdr:col>
      <xdr:colOff>30153</xdr:colOff>
      <xdr:row>0</xdr:row>
      <xdr:rowOff>16329</xdr:rowOff>
    </xdr:from>
    <xdr:to>
      <xdr:col>29</xdr:col>
      <xdr:colOff>294192</xdr:colOff>
      <xdr:row>3</xdr:row>
      <xdr:rowOff>2397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269E9BD-291D-4B9A-91E9-B28B7192E6F9}"/>
            </a:ext>
          </a:extLst>
        </xdr:cNvPr>
        <xdr:cNvSpPr txBox="1"/>
      </xdr:nvSpPr>
      <xdr:spPr>
        <a:xfrm>
          <a:off x="1526406" y="16329"/>
          <a:ext cx="3024155" cy="5361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133350</xdr:colOff>
          <xdr:row>14</xdr:row>
          <xdr:rowOff>28575</xdr:rowOff>
        </xdr:from>
        <xdr:to>
          <xdr:col>35</xdr:col>
          <xdr:colOff>314325</xdr:colOff>
          <xdr:row>39</xdr:row>
          <xdr:rowOff>19050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6</xdr:col>
      <xdr:colOff>555763</xdr:colOff>
      <xdr:row>39</xdr:row>
      <xdr:rowOff>110674</xdr:rowOff>
    </xdr:from>
    <xdr:to>
      <xdr:col>8</xdr:col>
      <xdr:colOff>817563</xdr:colOff>
      <xdr:row>47</xdr:row>
      <xdr:rowOff>92595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E4659C-E989-749D-D556-C0063FC71FCD}"/>
            </a:ext>
          </a:extLst>
        </xdr:cNvPr>
        <xdr:cNvSpPr txBox="1"/>
      </xdr:nvSpPr>
      <xdr:spPr>
        <a:xfrm>
          <a:off x="6160859" y="7128911"/>
          <a:ext cx="3606917" cy="17623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1100"/>
            <a:t>Let</a:t>
          </a:r>
        </a:p>
        <a:p>
          <a:r>
            <a:rPr lang="id-ID" sz="1100"/>
            <a:t>int data col </a:t>
          </a:r>
        </a:p>
        <a:p>
          <a:r>
            <a:rPr lang="id-ID" sz="1100"/>
            <a:t>Choose Col</a:t>
          </a:r>
        </a:p>
        <a:p>
          <a:r>
            <a:rPr lang="id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Check every col</a:t>
          </a:r>
        </a:p>
        <a:p>
          <a:r>
            <a:rPr lang="id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filter if</a:t>
          </a:r>
          <a:r>
            <a:rPr lang="id-ID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 match =1 if not 0, show if all col all multiplied to 1</a:t>
          </a:r>
          <a:endParaRPr lang="id-ID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d-ID" sz="1100"/>
        </a:p>
        <a:p>
          <a:endParaRPr lang="id-ID" sz="1100"/>
        </a:p>
      </xdr:txBody>
    </xdr:sp>
    <xdr:clientData/>
  </xdr:twoCellAnchor>
  <xdr:twoCellAnchor editAs="oneCell">
    <xdr:from>
      <xdr:col>43</xdr:col>
      <xdr:colOff>231344</xdr:colOff>
      <xdr:row>11</xdr:row>
      <xdr:rowOff>130523</xdr:rowOff>
    </xdr:from>
    <xdr:to>
      <xdr:col>45</xdr:col>
      <xdr:colOff>46096</xdr:colOff>
      <xdr:row>12</xdr:row>
      <xdr:rowOff>154028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29376C8-A5C5-4187-98E9-653539677B76}"/>
            </a:ext>
          </a:extLst>
        </xdr:cNvPr>
        <xdr:cNvSpPr txBox="1"/>
      </xdr:nvSpPr>
      <xdr:spPr>
        <a:xfrm>
          <a:off x="23926613" y="1801061"/>
          <a:ext cx="1031021" cy="21400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  <xdr:twoCellAnchor editAs="absolute">
    <xdr:from>
      <xdr:col>17</xdr:col>
      <xdr:colOff>221115</xdr:colOff>
      <xdr:row>8</xdr:row>
      <xdr:rowOff>7327</xdr:rowOff>
    </xdr:from>
    <xdr:to>
      <xdr:col>20</xdr:col>
      <xdr:colOff>386964</xdr:colOff>
      <xdr:row>10</xdr:row>
      <xdr:rowOff>107141</xdr:rowOff>
    </xdr:to>
    <xdr:sp macro="" textlink="">
      <xdr:nvSpPr>
        <xdr:cNvPr id="15" name="TextBox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4E4EB4-3F16-4536-BA03-3B9972ADC356}"/>
            </a:ext>
          </a:extLst>
        </xdr:cNvPr>
        <xdr:cNvSpPr txBox="1"/>
      </xdr:nvSpPr>
      <xdr:spPr>
        <a:xfrm>
          <a:off x="12024788" y="1245577"/>
          <a:ext cx="1440734" cy="407545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18</xdr:col>
      <xdr:colOff>2702</xdr:colOff>
      <xdr:row>10</xdr:row>
      <xdr:rowOff>164518</xdr:rowOff>
    </xdr:from>
    <xdr:to>
      <xdr:col>20</xdr:col>
      <xdr:colOff>371540</xdr:colOff>
      <xdr:row>12</xdr:row>
      <xdr:rowOff>182803</xdr:rowOff>
    </xdr:to>
    <xdr:sp macro="" textlink="">
      <xdr:nvSpPr>
        <xdr:cNvPr id="17" name="TextBox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C196AE-9E89-4109-A0A4-83DF57A91485}"/>
            </a:ext>
          </a:extLst>
        </xdr:cNvPr>
        <xdr:cNvSpPr txBox="1"/>
      </xdr:nvSpPr>
      <xdr:spPr>
        <a:xfrm>
          <a:off x="12033510" y="1710499"/>
          <a:ext cx="1416588" cy="399285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 Invoice</a:t>
          </a:r>
        </a:p>
      </xdr:txBody>
    </xdr:sp>
    <xdr:clientData/>
  </xdr:twoCellAnchor>
  <xdr:twoCellAnchor editAs="absolute">
    <xdr:from>
      <xdr:col>19</xdr:col>
      <xdr:colOff>78275</xdr:colOff>
      <xdr:row>8</xdr:row>
      <xdr:rowOff>102567</xdr:rowOff>
    </xdr:from>
    <xdr:to>
      <xdr:col>19</xdr:col>
      <xdr:colOff>285989</xdr:colOff>
      <xdr:row>10</xdr:row>
      <xdr:rowOff>9753</xdr:rowOff>
    </xdr:to>
    <xdr:pic>
      <xdr:nvPicPr>
        <xdr:cNvPr id="18" name="Graphic 17" descr="Pie chart with solid fill">
          <a:extLst>
            <a:ext uri="{FF2B5EF4-FFF2-40B4-BE49-F238E27FC236}">
              <a16:creationId xmlns:a16="http://schemas.microsoft.com/office/drawing/2014/main" id="{7F6ED3AE-F932-4D15-82E6-6F817C861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182352" y="1340817"/>
          <a:ext cx="207714" cy="214917"/>
        </a:xfrm>
        <a:prstGeom prst="rect">
          <a:avLst/>
        </a:prstGeom>
      </xdr:spPr>
    </xdr:pic>
    <xdr:clientData/>
  </xdr:twoCellAnchor>
  <xdr:twoCellAnchor editAs="absolute">
    <xdr:from>
      <xdr:col>18</xdr:col>
      <xdr:colOff>13951</xdr:colOff>
      <xdr:row>10</xdr:row>
      <xdr:rowOff>163495</xdr:rowOff>
    </xdr:from>
    <xdr:to>
      <xdr:col>18</xdr:col>
      <xdr:colOff>13951</xdr:colOff>
      <xdr:row>12</xdr:row>
      <xdr:rowOff>180079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206502A5-FB61-426E-89D7-6E8ADD13755E}"/>
            </a:ext>
          </a:extLst>
        </xdr:cNvPr>
        <xdr:cNvCxnSpPr>
          <a:cxnSpLocks noChangeAspect="1"/>
        </xdr:cNvCxnSpPr>
      </xdr:nvCxnSpPr>
      <xdr:spPr>
        <a:xfrm>
          <a:off x="12070596" y="1702534"/>
          <a:ext cx="0" cy="397584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63388</xdr:colOff>
      <xdr:row>11</xdr:row>
      <xdr:rowOff>71437</xdr:rowOff>
    </xdr:from>
    <xdr:to>
      <xdr:col>19</xdr:col>
      <xdr:colOff>274960</xdr:colOff>
      <xdr:row>12</xdr:row>
      <xdr:rowOff>95250</xdr:rowOff>
    </xdr:to>
    <xdr:pic>
      <xdr:nvPicPr>
        <xdr:cNvPr id="29" name="Graphic 28" descr="Document with solid fill">
          <a:extLst>
            <a:ext uri="{FF2B5EF4-FFF2-40B4-BE49-F238E27FC236}">
              <a16:creationId xmlns:a16="http://schemas.microsoft.com/office/drawing/2014/main" id="{195330D5-32C8-15A1-4A2A-43E0F71E7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195857" y="1791890"/>
          <a:ext cx="211572" cy="214313"/>
        </a:xfrm>
        <a:prstGeom prst="rect">
          <a:avLst/>
        </a:prstGeom>
      </xdr:spPr>
    </xdr:pic>
    <xdr:clientData/>
  </xdr:twoCellAnchor>
  <xdr:twoCellAnchor editAs="absolute">
    <xdr:from>
      <xdr:col>18</xdr:col>
      <xdr:colOff>5012</xdr:colOff>
      <xdr:row>13</xdr:row>
      <xdr:rowOff>75197</xdr:rowOff>
    </xdr:from>
    <xdr:to>
      <xdr:col>21</xdr:col>
      <xdr:colOff>5013</xdr:colOff>
      <xdr:row>15</xdr:row>
      <xdr:rowOff>53377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685A534-8D7C-4C91-9226-CCD668E51F38}"/>
            </a:ext>
          </a:extLst>
        </xdr:cNvPr>
        <xdr:cNvSpPr txBox="1"/>
      </xdr:nvSpPr>
      <xdr:spPr>
        <a:xfrm>
          <a:off x="12061657" y="2205789"/>
          <a:ext cx="1438777" cy="399285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Create/Edit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Invoice</a:t>
          </a:r>
        </a:p>
      </xdr:txBody>
    </xdr:sp>
    <xdr:clientData/>
  </xdr:twoCellAnchor>
  <xdr:twoCellAnchor editAs="oneCell">
    <xdr:from>
      <xdr:col>19</xdr:col>
      <xdr:colOff>72872</xdr:colOff>
      <xdr:row>13</xdr:row>
      <xdr:rowOff>179407</xdr:rowOff>
    </xdr:from>
    <xdr:to>
      <xdr:col>19</xdr:col>
      <xdr:colOff>248760</xdr:colOff>
      <xdr:row>14</xdr:row>
      <xdr:rowOff>134652</xdr:rowOff>
    </xdr:to>
    <xdr:pic>
      <xdr:nvPicPr>
        <xdr:cNvPr id="4" name="Graphic 3" descr="Add with solid fill">
          <a:extLst>
            <a:ext uri="{FF2B5EF4-FFF2-40B4-BE49-F238E27FC236}">
              <a16:creationId xmlns:a16="http://schemas.microsoft.com/office/drawing/2014/main" id="{9923119E-FD92-4749-9393-356622F0F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204714" y="2309999"/>
          <a:ext cx="175888" cy="175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208462</xdr:colOff>
      <xdr:row>0</xdr:row>
      <xdr:rowOff>16328</xdr:rowOff>
    </xdr:from>
    <xdr:to>
      <xdr:col>19</xdr:col>
      <xdr:colOff>108397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3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126068</xdr:colOff>
      <xdr:row>7</xdr:row>
      <xdr:rowOff>94746</xdr:rowOff>
    </xdr:from>
    <xdr:to>
      <xdr:col>7</xdr:col>
      <xdr:colOff>565684</xdr:colOff>
      <xdr:row>8</xdr:row>
      <xdr:rowOff>189996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45198" y="1353703"/>
          <a:ext cx="712943" cy="285750"/>
          <a:chOff x="2370066" y="1818234"/>
          <a:chExt cx="721511" cy="285750"/>
        </a:xfrm>
      </xdr:grpSpPr>
      <xdr:sp macro="[0]!modCreateInvoice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714</xdr:colOff>
      <xdr:row>7</xdr:row>
      <xdr:rowOff>95250</xdr:rowOff>
    </xdr:from>
    <xdr:to>
      <xdr:col>11</xdr:col>
      <xdr:colOff>1913</xdr:colOff>
      <xdr:row>9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64062" y="1354207"/>
          <a:ext cx="705221" cy="285750"/>
          <a:chOff x="3190616" y="1818738"/>
          <a:chExt cx="717879" cy="285750"/>
        </a:xfrm>
      </xdr:grpSpPr>
      <xdr:sp macro="[0]!modCreateInvoice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66386" y="1351748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190786</xdr:colOff>
      <xdr:row>5</xdr:row>
      <xdr:rowOff>71255</xdr:rowOff>
    </xdr:from>
    <xdr:to>
      <xdr:col>28</xdr:col>
      <xdr:colOff>406702</xdr:colOff>
      <xdr:row>8</xdr:row>
      <xdr:rowOff>77390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994CA2D-E011-0009-4E73-80376DDAA7A9}"/>
            </a:ext>
          </a:extLst>
        </xdr:cNvPr>
        <xdr:cNvGrpSpPr/>
      </xdr:nvGrpSpPr>
      <xdr:grpSpPr>
        <a:xfrm>
          <a:off x="9939416" y="1040320"/>
          <a:ext cx="1466590" cy="486527"/>
          <a:chOff x="9821656" y="1031082"/>
          <a:chExt cx="1241089" cy="482385"/>
        </a:xfrm>
      </xdr:grpSpPr>
      <xdr:sp macro="[0]!exportToPdf" textlink="">
        <xdr:nvSpPr>
          <xdr:cNvPr id="14" name="TextBox 13">
            <a:extLst>
              <a:ext uri="{FF2B5EF4-FFF2-40B4-BE49-F238E27FC236}">
                <a16:creationId xmlns:a16="http://schemas.microsoft.com/office/drawing/2014/main" id="{8DEED80F-23D7-AACA-2022-3009838C47A0}"/>
              </a:ext>
            </a:extLst>
          </xdr:cNvPr>
          <xdr:cNvSpPr txBox="1"/>
        </xdr:nvSpPr>
        <xdr:spPr>
          <a:xfrm>
            <a:off x="9821656" y="1031082"/>
            <a:ext cx="1241089" cy="48238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540000" rtlCol="0" anchor="ctr"/>
          <a:lstStyle/>
          <a:p>
            <a:pPr algn="ctr"/>
            <a:r>
              <a:rPr lang="id-ID" sz="1000" b="0" i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Export</a:t>
            </a:r>
            <a:r>
              <a:rPr lang="id-ID" sz="1000" b="0" i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PDF</a:t>
            </a:r>
            <a:endParaRPr lang="id-ID" sz="1000" b="0" i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9" name="Graphic 18" descr="Printer with solid fill">
            <a:extLst>
              <a:ext uri="{FF2B5EF4-FFF2-40B4-BE49-F238E27FC236}">
                <a16:creationId xmlns:a16="http://schemas.microsoft.com/office/drawing/2014/main" id="{1BD27DD8-CB4B-B352-B74D-B7D348467C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54555" y="1125140"/>
            <a:ext cx="251015" cy="29903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3</xdr:row>
      <xdr:rowOff>283028</xdr:rowOff>
    </xdr:from>
    <xdr:to>
      <xdr:col>3</xdr:col>
      <xdr:colOff>1848</xdr:colOff>
      <xdr:row>6</xdr:row>
      <xdr:rowOff>84486</xdr:rowOff>
    </xdr:to>
    <xdr:sp macro="" textlink="">
      <xdr:nvSpPr>
        <xdr:cNvPr id="31" name="TextBox 3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8598AE1-B3DC-4275-B5FE-E214DCF95B03}"/>
            </a:ext>
          </a:extLst>
        </xdr:cNvPr>
        <xdr:cNvSpPr txBox="1"/>
      </xdr:nvSpPr>
      <xdr:spPr>
        <a:xfrm>
          <a:off x="0" y="838199"/>
          <a:ext cx="1444205" cy="405616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12193</xdr:colOff>
      <xdr:row>7</xdr:row>
      <xdr:rowOff>43892</xdr:rowOff>
    </xdr:from>
    <xdr:to>
      <xdr:col>2</xdr:col>
      <xdr:colOff>378310</xdr:colOff>
      <xdr:row>9</xdr:row>
      <xdr:rowOff>62177</xdr:rowOff>
    </xdr:to>
    <xdr:sp macro="" textlink="">
      <xdr:nvSpPr>
        <xdr:cNvPr id="32" name="TextBox 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CE9205A-59D9-4E21-A099-A7968AA24FB6}"/>
            </a:ext>
          </a:extLst>
        </xdr:cNvPr>
        <xdr:cNvSpPr txBox="1"/>
      </xdr:nvSpPr>
      <xdr:spPr>
        <a:xfrm>
          <a:off x="12193" y="1298564"/>
          <a:ext cx="1417151" cy="399285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67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 Invoice</a:t>
          </a:r>
        </a:p>
      </xdr:txBody>
    </xdr:sp>
    <xdr:clientData/>
  </xdr:twoCellAnchor>
  <xdr:twoCellAnchor editAs="absolute">
    <xdr:from>
      <xdr:col>1</xdr:col>
      <xdr:colOff>86763</xdr:colOff>
      <xdr:row>4</xdr:row>
      <xdr:rowOff>89796</xdr:rowOff>
    </xdr:from>
    <xdr:to>
      <xdr:col>1</xdr:col>
      <xdr:colOff>294477</xdr:colOff>
      <xdr:row>5</xdr:row>
      <xdr:rowOff>177598</xdr:rowOff>
    </xdr:to>
    <xdr:pic>
      <xdr:nvPicPr>
        <xdr:cNvPr id="35" name="Graphic 34" descr="Pie chart with solid fill">
          <a:extLst>
            <a:ext uri="{FF2B5EF4-FFF2-40B4-BE49-F238E27FC236}">
              <a16:creationId xmlns:a16="http://schemas.microsoft.com/office/drawing/2014/main" id="{F571EE19-F98F-44CE-AA18-51668195E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2963" y="933439"/>
          <a:ext cx="207714" cy="212988"/>
        </a:xfrm>
        <a:prstGeom prst="rect">
          <a:avLst/>
        </a:prstGeom>
      </xdr:spPr>
    </xdr:pic>
    <xdr:clientData/>
  </xdr:twoCellAnchor>
  <xdr:twoCellAnchor editAs="oneCell">
    <xdr:from>
      <xdr:col>1</xdr:col>
      <xdr:colOff>71876</xdr:colOff>
      <xdr:row>7</xdr:row>
      <xdr:rowOff>141311</xdr:rowOff>
    </xdr:from>
    <xdr:to>
      <xdr:col>1</xdr:col>
      <xdr:colOff>283448</xdr:colOff>
      <xdr:row>8</xdr:row>
      <xdr:rowOff>165124</xdr:rowOff>
    </xdr:to>
    <xdr:pic>
      <xdr:nvPicPr>
        <xdr:cNvPr id="40" name="Graphic 39" descr="Document with solid fill">
          <a:extLst>
            <a:ext uri="{FF2B5EF4-FFF2-40B4-BE49-F238E27FC236}">
              <a16:creationId xmlns:a16="http://schemas.microsoft.com/office/drawing/2014/main" id="{D8910AA6-A54D-438B-B880-8BF43DB0A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48076" y="1398611"/>
          <a:ext cx="211572" cy="214313"/>
        </a:xfrm>
        <a:prstGeom prst="rect">
          <a:avLst/>
        </a:prstGeom>
      </xdr:spPr>
    </xdr:pic>
    <xdr:clientData/>
  </xdr:twoCellAnchor>
  <xdr:twoCellAnchor editAs="absolute">
    <xdr:from>
      <xdr:col>0</xdr:col>
      <xdr:colOff>16328</xdr:colOff>
      <xdr:row>9</xdr:row>
      <xdr:rowOff>123710</xdr:rowOff>
    </xdr:from>
    <xdr:to>
      <xdr:col>2</xdr:col>
      <xdr:colOff>381882</xdr:colOff>
      <xdr:row>11</xdr:row>
      <xdr:rowOff>141995</xdr:rowOff>
    </xdr:to>
    <xdr:sp macro="" textlink="">
      <xdr:nvSpPr>
        <xdr:cNvPr id="41" name="TextBox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A6FF4D-2679-4419-9C0E-019636E61F33}"/>
            </a:ext>
          </a:extLst>
        </xdr:cNvPr>
        <xdr:cNvSpPr txBox="1"/>
      </xdr:nvSpPr>
      <xdr:spPr>
        <a:xfrm>
          <a:off x="16328" y="1755949"/>
          <a:ext cx="1413304" cy="399285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Create/Edit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Invoice</a:t>
          </a:r>
        </a:p>
      </xdr:txBody>
    </xdr:sp>
    <xdr:clientData/>
  </xdr:twoCellAnchor>
  <xdr:twoCellAnchor editAs="absolute">
    <xdr:from>
      <xdr:col>0</xdr:col>
      <xdr:colOff>14808</xdr:colOff>
      <xdr:row>9</xdr:row>
      <xdr:rowOff>120606</xdr:rowOff>
    </xdr:from>
    <xdr:to>
      <xdr:col>0</xdr:col>
      <xdr:colOff>14808</xdr:colOff>
      <xdr:row>11</xdr:row>
      <xdr:rowOff>137190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1B1DD25C-BE5A-C102-C9D8-BE0D5A58B1B9}"/>
            </a:ext>
          </a:extLst>
        </xdr:cNvPr>
        <xdr:cNvCxnSpPr>
          <a:cxnSpLocks noChangeAspect="1"/>
        </xdr:cNvCxnSpPr>
      </xdr:nvCxnSpPr>
      <xdr:spPr>
        <a:xfrm>
          <a:off x="14808" y="1748260"/>
          <a:ext cx="0" cy="397584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85044</xdr:colOff>
      <xdr:row>10</xdr:row>
      <xdr:rowOff>37420</xdr:rowOff>
    </xdr:from>
    <xdr:to>
      <xdr:col>1</xdr:col>
      <xdr:colOff>260932</xdr:colOff>
      <xdr:row>11</xdr:row>
      <xdr:rowOff>22744</xdr:rowOff>
    </xdr:to>
    <xdr:pic>
      <xdr:nvPicPr>
        <xdr:cNvPr id="45" name="Graphic 44" descr="Add with solid fill">
          <a:extLst>
            <a:ext uri="{FF2B5EF4-FFF2-40B4-BE49-F238E27FC236}">
              <a16:creationId xmlns:a16="http://schemas.microsoft.com/office/drawing/2014/main" id="{5F712061-CF5F-4095-86A0-263DCABF6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9883" y="1853974"/>
          <a:ext cx="175888" cy="1758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508438</xdr:colOff>
      <xdr:row>15</xdr:row>
      <xdr:rowOff>139919</xdr:rowOff>
    </xdr:from>
    <xdr:to>
      <xdr:col>13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7043373" y="2975220"/>
          <a:ext cx="1472651" cy="483558"/>
          <a:chOff x="6302807" y="2364932"/>
          <a:chExt cx="1371599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400-00000E040000}"/>
                  </a:ext>
                </a:extLst>
              </xdr:cNvPr>
              <xdr:cNvSpPr/>
            </xdr:nvSpPr>
            <xdr:spPr bwMode="auto">
              <a:xfrm>
                <a:off x="6302807" y="2364932"/>
                <a:ext cx="1371599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505507</xdr:colOff>
      <xdr:row>19</xdr:row>
      <xdr:rowOff>147194</xdr:rowOff>
    </xdr:from>
    <xdr:to>
      <xdr:col>13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7040442" y="3607646"/>
          <a:ext cx="1471186" cy="495217"/>
          <a:chOff x="6299919" y="3121113"/>
          <a:chExt cx="1370138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400-000010040000}"/>
                  </a:ext>
                </a:extLst>
              </xdr:cNvPr>
              <xdr:cNvSpPr/>
            </xdr:nvSpPr>
            <xdr:spPr bwMode="auto">
              <a:xfrm>
                <a:off x="6299919" y="3121113"/>
                <a:ext cx="1370138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517071</xdr:colOff>
      <xdr:row>11</xdr:row>
      <xdr:rowOff>167838</xdr:rowOff>
    </xdr:from>
    <xdr:to>
      <xdr:col>12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7053149" y="2232189"/>
          <a:ext cx="1438330" cy="533976"/>
          <a:chOff x="6324603" y="2208909"/>
          <a:chExt cx="1340307" cy="52659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400-000011040000}"/>
                  </a:ext>
                </a:extLst>
              </xdr:cNvPr>
              <xdr:cNvSpPr/>
            </xdr:nvSpPr>
            <xdr:spPr bwMode="auto">
              <a:xfrm>
                <a:off x="6324603" y="2208909"/>
                <a:ext cx="1340307" cy="5265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505662</xdr:colOff>
      <xdr:row>8</xdr:row>
      <xdr:rowOff>103519</xdr:rowOff>
    </xdr:from>
    <xdr:to>
      <xdr:col>13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7040597" y="1588991"/>
          <a:ext cx="1472651" cy="500774"/>
          <a:chOff x="6303988" y="1573941"/>
          <a:chExt cx="1373980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400-00000D040000}"/>
                  </a:ext>
                </a:extLst>
              </xdr:cNvPr>
              <xdr:cNvSpPr/>
            </xdr:nvSpPr>
            <xdr:spPr bwMode="auto">
              <a:xfrm>
                <a:off x="6303988" y="1573941"/>
                <a:ext cx="1373980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487417</xdr:colOff>
      <xdr:row>23</xdr:row>
      <xdr:rowOff>119555</xdr:rowOff>
    </xdr:from>
    <xdr:to>
      <xdr:col>12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7020066" y="4352100"/>
          <a:ext cx="1471590" cy="493931"/>
          <a:chOff x="6340372" y="4395952"/>
          <a:chExt cx="1368820" cy="4896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400-000016040000}"/>
                  </a:ext>
                </a:extLst>
              </xdr:cNvPr>
              <xdr:cNvSpPr/>
            </xdr:nvSpPr>
            <xdr:spPr bwMode="auto">
              <a:xfrm>
                <a:off x="6340372" y="4395952"/>
                <a:ext cx="1368820" cy="489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7B193-478D-4EE2-9AA2-47E66A8E0D6E}"/>
            </a:ext>
          </a:extLst>
        </xdr:cNvPr>
        <xdr:cNvSpPr txBox="1"/>
      </xdr:nvSpPr>
      <xdr:spPr>
        <a:xfrm>
          <a:off x="5953" y="990600"/>
          <a:ext cx="1502051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9D34CC-3621-43F5-8C59-211E9E945C6A}"/>
            </a:ext>
          </a:extLst>
        </xdr:cNvPr>
        <xdr:cNvSpPr txBox="1"/>
      </xdr:nvSpPr>
      <xdr:spPr>
        <a:xfrm>
          <a:off x="14675" y="1443977"/>
          <a:ext cx="1461492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389106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C73A7E-29D7-4EC2-9446-2DF7C3DE8406}"/>
            </a:ext>
          </a:extLst>
        </xdr:cNvPr>
        <xdr:cNvSpPr txBox="1"/>
      </xdr:nvSpPr>
      <xdr:spPr>
        <a:xfrm>
          <a:off x="10379" y="1903181"/>
          <a:ext cx="1477142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460B02-FD12-4858-AA6F-DB06B8775212}"/>
            </a:ext>
          </a:extLst>
        </xdr:cNvPr>
        <xdr:cNvSpPr txBox="1"/>
      </xdr:nvSpPr>
      <xdr:spPr>
        <a:xfrm>
          <a:off x="4646" y="2370097"/>
          <a:ext cx="1471729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47F2D26D-B7B1-48B2-A28F-74C89373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142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6AF46B4-69C2-4681-9409-C5609214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32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00380DCD-5407-45B4-B459-F9DA9493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335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5D99A3C-21DC-45D0-AD5B-5CB51C6B6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8484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21047</xdr:colOff>
      <xdr:row>9</xdr:row>
      <xdr:rowOff>112857</xdr:rowOff>
    </xdr:from>
    <xdr:to>
      <xdr:col>0</xdr:col>
      <xdr:colOff>21047</xdr:colOff>
      <xdr:row>11</xdr:row>
      <xdr:rowOff>126156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948B89-C05F-446C-9718-690FA8DAF334}"/>
            </a:ext>
          </a:extLst>
        </xdr:cNvPr>
        <xdr:cNvCxnSpPr>
          <a:cxnSpLocks noChangeAspect="1"/>
        </xdr:cNvCxnSpPr>
      </xdr:nvCxnSpPr>
      <xdr:spPr>
        <a:xfrm>
          <a:off x="21047" y="190436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5D45438-A2DB-462E-BAEA-04CF66222645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Customer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A18AE47-2317-49DF-ABC7-924F34A00997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M16" totalsRowShown="0" headerRowDxfId="23">
  <autoFilter ref="A1:M16" xr:uid="{48AD3E33-C02C-4FD6-B132-D42572744827}"/>
  <tableColumns count="13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CellStyle="Currency"/>
    <tableColumn id="4" xr3:uid="{8885CFEA-C519-428F-94A1-D43DAD6354D0}" name="Date Issued" dataDxfId="22"/>
    <tableColumn id="5" xr3:uid="{09A5A2F6-A920-4DF8-AA7F-93802D537595}" name="Date Due " dataDxfId="21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  <tableColumn id="11" xr3:uid="{80CC6F85-9B47-4430-871A-382B41A36A3B}" name="Paid Amount" dataCellStyle="Currency"/>
    <tableColumn id="13" xr3:uid="{7E483D65-C0CD-4B45-82BA-2251344D1085}" name="Balance Amount" dataCellStyle="Currency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27" totalsRowShown="0" headerRowDxfId="20" dataDxfId="19">
  <autoFilter ref="A1:H27" xr:uid="{8EE95C34-3980-4E68-8BA5-2DCB8AB7BC82}"/>
  <tableColumns count="8">
    <tableColumn id="1" xr3:uid="{6C812849-C759-46C7-9E4A-A5C193980998}" name="Invoice_Name" dataDxfId="18"/>
    <tableColumn id="4" xr3:uid="{5B05EC9A-A25F-4729-914C-DC9920BBD14A}" name="Item_Code" dataDxfId="17"/>
    <tableColumn id="9" xr3:uid="{72C6B80B-6D87-43F6-A2A7-E82A9BEA9D8C}" name="Description" dataDxfId="16"/>
    <tableColumn id="10" xr3:uid="{2F8D76A9-850D-4073-999E-AD08AD98D9DD}" name="Unit" dataDxfId="15"/>
    <tableColumn id="11" xr3:uid="{27AA92B2-1678-44FB-82C6-00A5E8DE178C}" name="Qty" dataDxfId="14"/>
    <tableColumn id="12" xr3:uid="{0618E5C7-ADCE-4797-8B1A-C4B63694FCD5}" name="Unit_Price" dataDxfId="13"/>
    <tableColumn id="13" xr3:uid="{61A95336-8C36-48DE-98B9-2775C9E098C3}" name="Amount" dataDxfId="12"/>
    <tableColumn id="14" xr3:uid="{99A22CC8-5A31-4C20-A8B4-74A65F902FD7}" name="Column1" dataDxfId="1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10">
  <autoFilter ref="A1:G14" xr:uid="{B0880F31-074E-4996-9F20-27767B2FCE1A}"/>
  <tableColumns count="7">
    <tableColumn id="1" xr3:uid="{17DA06EE-BB37-4772-B584-29A3E80071DE}" name="SKU" dataDxfId="9"/>
    <tableColumn id="2" xr3:uid="{C232A6CE-D94D-4DFD-B059-811186550D74}" name="Product Name" dataDxfId="8"/>
    <tableColumn id="3" xr3:uid="{68F42BAD-B95A-4A15-BD8A-EB336A360506}" name="Category" dataDxfId="7"/>
    <tableColumn id="4" xr3:uid="{24694E8C-AAE0-4401-990D-FD86275F11AD}" name="Unit" dataDxfId="6"/>
    <tableColumn id="5" xr3:uid="{E0DAD40E-65C6-4676-A827-8127720E6680}" name="Cost Price" dataDxfId="5"/>
    <tableColumn id="6" xr3:uid="{1CB87F91-C55A-4FAC-A988-4DB8067D06D1}" name="Selling Price" dataDxfId="4"/>
    <tableColumn id="7" xr3:uid="{714A8D32-98D5-4331-89ED-8DC3DD80A91F}" name="Stock" dataDxfId="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6" totalsRowShown="0">
  <autoFilter ref="A1:H26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invoice/INV-2026-PT%20Sinar%20Karya%20Abadi-8.pdf" TargetMode="External"/><Relationship Id="rId2" Type="http://schemas.openxmlformats.org/officeDocument/2006/relationships/hyperlink" Target="../invoice/INV-2026-PT%20Makassar%20Retail%20Utama-11.pdf" TargetMode="External"/><Relationship Id="rId1" Type="http://schemas.openxmlformats.org/officeDocument/2006/relationships/hyperlink" Target="../invoice/INV-2026-PT%20Makassar%20Retail%20Utama-11.pdf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/invoice/INV-2026-PT%20Manado%20Lifestyle%20Center-10.pdf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2EAAB-20C7-4037-B7CE-4A2E743B1B40}">
  <sheetPr codeName="Sheet6"/>
  <dimension ref="A1:J3"/>
  <sheetViews>
    <sheetView zoomScaleNormal="10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7398-A1E4-4881-BCC1-A9D3650631F1}">
  <sheetPr codeName="Sheet11"/>
  <dimension ref="A1:AT55"/>
  <sheetViews>
    <sheetView tabSelected="1" topLeftCell="R1" zoomScale="130" zoomScaleNormal="130" workbookViewId="0">
      <selection activeCell="AH8" sqref="AH8"/>
    </sheetView>
  </sheetViews>
  <sheetFormatPr defaultRowHeight="16.5" thickTop="1" thickBottom="1" x14ac:dyDescent="0.3"/>
  <cols>
    <col min="1" max="1" width="3.42578125" style="148" bestFit="1" customWidth="1"/>
    <col min="2" max="2" width="26.140625" style="148" bestFit="1" customWidth="1"/>
    <col min="3" max="3" width="10.140625" style="148" bestFit="1" customWidth="1"/>
    <col min="4" max="5" width="11.5703125" style="149" bestFit="1" customWidth="1"/>
    <col min="6" max="6" width="12.5703125" style="148" bestFit="1" customWidth="1"/>
    <col min="7" max="7" width="37.7109375" style="148" bestFit="1" customWidth="1"/>
    <col min="8" max="9" width="12.5703125" style="147" bestFit="1" customWidth="1"/>
    <col min="10" max="10" width="8.5703125" style="110" bestFit="1" customWidth="1"/>
    <col min="11" max="11" width="4.5703125" style="110" bestFit="1" customWidth="1"/>
    <col min="12" max="12" width="8.5703125" style="110" bestFit="1" customWidth="1"/>
    <col min="13" max="16" width="17.28515625" style="110" hidden="1" customWidth="1"/>
    <col min="17" max="17" width="17.28515625" style="110" customWidth="1"/>
    <col min="18" max="18" width="3.42578125" style="27" bestFit="1" customWidth="1"/>
    <col min="19" max="19" width="1.140625" style="26" customWidth="1"/>
    <col min="20" max="20" width="14.5703125" style="26" customWidth="1"/>
    <col min="21" max="21" width="5.85546875" style="26" customWidth="1"/>
    <col min="22" max="22" width="2.85546875" style="114" customWidth="1"/>
    <col min="23" max="23" width="2.42578125" style="114" customWidth="1"/>
    <col min="24" max="24" width="3.42578125" style="114" bestFit="1" customWidth="1"/>
    <col min="25" max="25" width="7.140625" style="114" bestFit="1" customWidth="1"/>
    <col min="26" max="26" width="5.42578125" style="114" customWidth="1"/>
    <col min="27" max="27" width="6.7109375" style="114" customWidth="1"/>
    <col min="28" max="28" width="6.7109375" style="114" bestFit="1" customWidth="1"/>
    <col min="29" max="30" width="6.7109375" style="114" customWidth="1"/>
    <col min="31" max="31" width="6.42578125" style="114" bestFit="1" customWidth="1"/>
    <col min="32" max="34" width="6.7109375" style="114" customWidth="1"/>
    <col min="35" max="35" width="7.85546875" style="114" customWidth="1"/>
    <col min="36" max="36" width="7.140625" style="114" customWidth="1"/>
    <col min="37" max="37" width="5" style="114" customWidth="1"/>
    <col min="38" max="38" width="3.42578125" style="114" customWidth="1"/>
    <col min="39" max="39" width="10.7109375" style="114" bestFit="1" customWidth="1"/>
    <col min="40" max="40" width="5.5703125" style="114" customWidth="1"/>
    <col min="41" max="41" width="13.140625" style="114" customWidth="1"/>
    <col min="42" max="42" width="10.28515625" style="114" customWidth="1"/>
    <col min="43" max="43" width="6.140625" style="114" customWidth="1"/>
    <col min="44" max="45" width="9.140625" style="114" customWidth="1"/>
    <col min="46" max="46" width="4.140625" style="114" customWidth="1"/>
    <col min="47" max="16384" width="9.140625" style="114"/>
  </cols>
  <sheetData>
    <row r="1" spans="1:46" s="31" customFormat="1" ht="8.25" customHeight="1" thickTop="1" thickBot="1" x14ac:dyDescent="0.3">
      <c r="A1" s="148">
        <v>28</v>
      </c>
      <c r="B1" s="148"/>
      <c r="C1" s="148"/>
      <c r="D1" s="149"/>
      <c r="E1" s="149"/>
      <c r="F1" s="148"/>
      <c r="G1" s="148"/>
      <c r="H1" s="147"/>
      <c r="I1" s="147"/>
      <c r="J1" s="109"/>
      <c r="K1" s="109"/>
      <c r="L1" s="109"/>
      <c r="M1" s="109"/>
      <c r="N1" s="109"/>
      <c r="O1" s="109"/>
      <c r="P1" s="109"/>
      <c r="Q1" s="109"/>
      <c r="R1" s="33"/>
      <c r="S1" s="32"/>
      <c r="T1" s="32"/>
      <c r="U1" s="32"/>
      <c r="AG1" s="74"/>
      <c r="AH1" s="74"/>
    </row>
    <row r="2" spans="1:46" s="31" customFormat="1" ht="28.5" customHeight="1" thickTop="1" thickBot="1" x14ac:dyDescent="0.6">
      <c r="A2" s="148"/>
      <c r="B2" s="148"/>
      <c r="C2" s="148"/>
      <c r="D2" s="149"/>
      <c r="E2" s="149"/>
      <c r="F2" s="148"/>
      <c r="G2" s="148"/>
      <c r="H2" s="147"/>
      <c r="I2" s="147"/>
      <c r="J2" s="109"/>
      <c r="K2" s="109"/>
      <c r="L2" s="109"/>
      <c r="M2" s="109"/>
      <c r="N2" s="109"/>
      <c r="O2" s="109"/>
      <c r="P2" s="109"/>
      <c r="Q2" s="109"/>
      <c r="R2" s="33"/>
      <c r="S2" s="32"/>
      <c r="T2" s="32"/>
      <c r="U2" s="32"/>
      <c r="X2" s="112"/>
      <c r="Y2" s="113"/>
      <c r="Z2" s="113"/>
      <c r="AA2" s="113"/>
      <c r="AB2" s="113"/>
      <c r="AC2" s="113"/>
      <c r="AD2" s="113"/>
      <c r="AG2" s="74"/>
      <c r="AH2" s="74"/>
    </row>
    <row r="3" spans="1:46" s="31" customFormat="1" ht="6.75" customHeight="1" thickTop="1" thickBot="1" x14ac:dyDescent="0.3">
      <c r="A3" s="148"/>
      <c r="B3" s="148"/>
      <c r="C3" s="148"/>
      <c r="D3" s="149"/>
      <c r="E3" s="149"/>
      <c r="F3" s="148"/>
      <c r="G3" s="148"/>
      <c r="H3" s="147"/>
      <c r="I3" s="147"/>
      <c r="J3" s="109"/>
      <c r="K3" s="109"/>
      <c r="L3" s="109"/>
      <c r="M3" s="109"/>
      <c r="N3" s="109"/>
      <c r="O3" s="109"/>
      <c r="P3" s="109"/>
      <c r="Q3" s="109"/>
      <c r="R3" s="33"/>
      <c r="S3" s="32"/>
      <c r="T3" s="32"/>
      <c r="U3" s="32"/>
      <c r="AG3" s="74"/>
      <c r="AH3" s="74"/>
    </row>
    <row r="4" spans="1:46" ht="9.75" customHeight="1" thickTop="1" thickBot="1" x14ac:dyDescent="0.3">
      <c r="J4" s="110" t="str">
        <f>VLOOKUP('Manage Invoice'!AP11,Table2[],11,FALSE)</f>
        <v>INV-2026-PT Manado Lifestyle Center-10</v>
      </c>
      <c r="L4" s="110">
        <v>17</v>
      </c>
      <c r="R4" s="27">
        <v>15</v>
      </c>
    </row>
    <row r="5" spans="1:46" ht="6.75" customHeight="1" thickTop="1" thickBot="1" x14ac:dyDescent="0.3"/>
    <row r="6" spans="1:46" ht="3.75" customHeight="1" thickTop="1" thickBot="1" x14ac:dyDescent="0.3"/>
    <row r="7" spans="1:46" thickTop="1" thickBot="1" x14ac:dyDescent="0.3">
      <c r="K7" s="116"/>
      <c r="L7" s="116"/>
      <c r="M7" s="116"/>
      <c r="N7" s="116"/>
      <c r="O7" s="116"/>
      <c r="P7" s="116"/>
      <c r="Q7" s="116"/>
      <c r="R7" s="145"/>
    </row>
    <row r="8" spans="1:46" thickTop="1" thickBot="1" x14ac:dyDescent="0.3">
      <c r="L8" s="147" t="str" cm="1">
        <f t="array" ref="L8">_xlfn.LET(
_xlpm.invName,tblInvoiceDetails[Invoice_Name],
_xlpm.data,
_xlfn.CHOOSECOLS(tblInvoiceDetails[],3,5,6),
_xlfn._xlws.FILTER(_xlpm.data,IF(_xlpm.invName=$J$4,TRUE,FALSE),""))</f>
        <v/>
      </c>
      <c r="M8" s="147"/>
      <c r="N8" s="147"/>
    </row>
    <row r="9" spans="1:46" thickTop="1" thickBot="1" x14ac:dyDescent="0.3">
      <c r="H9" s="147" t="s">
        <v>307</v>
      </c>
      <c r="I9" s="147" t="s">
        <v>308</v>
      </c>
      <c r="J9" s="110" t="s">
        <v>309</v>
      </c>
      <c r="K9" s="110" t="s">
        <v>310</v>
      </c>
      <c r="L9" s="147"/>
      <c r="M9" s="147"/>
      <c r="N9" s="147"/>
      <c r="Z9" s="115"/>
      <c r="AA9" s="115"/>
      <c r="AC9" s="115"/>
      <c r="AD9" s="115"/>
      <c r="AE9" s="115"/>
      <c r="AF9" s="115"/>
    </row>
    <row r="10" spans="1:46" ht="7.5" customHeight="1" thickTop="1" thickBot="1" x14ac:dyDescent="0.3">
      <c r="H10" s="147" t="str">
        <f>Z12</f>
        <v>All</v>
      </c>
      <c r="I10" s="147" t="str">
        <f>IF(AC12&lt;&gt;"",AC12,"")</f>
        <v/>
      </c>
      <c r="J10" s="110">
        <f>AE10</f>
        <v>0</v>
      </c>
      <c r="L10" s="147"/>
      <c r="M10" s="147"/>
      <c r="N10" s="147"/>
      <c r="W10" s="111"/>
      <c r="X10" s="111"/>
      <c r="Y10" s="111"/>
      <c r="Z10" s="117"/>
      <c r="AA10" s="117"/>
      <c r="AB10" s="31"/>
      <c r="AC10" s="117"/>
      <c r="AD10" s="117"/>
      <c r="AE10" s="117"/>
      <c r="AF10" s="117"/>
      <c r="AG10" s="111"/>
      <c r="AH10" s="111"/>
      <c r="AI10" s="111"/>
      <c r="AJ10" s="111"/>
      <c r="AL10" s="111"/>
      <c r="AM10" s="111"/>
      <c r="AN10" s="111"/>
      <c r="AO10" s="111"/>
      <c r="AP10" s="111"/>
      <c r="AQ10" s="111"/>
      <c r="AR10" s="111"/>
      <c r="AS10" s="111"/>
      <c r="AT10" s="111"/>
    </row>
    <row r="11" spans="1:46" ht="15" customHeight="1" thickTop="1" thickBot="1" x14ac:dyDescent="0.3">
      <c r="L11" s="147"/>
      <c r="M11" s="147"/>
      <c r="N11" s="147"/>
      <c r="W11" s="111"/>
      <c r="X11" s="111"/>
      <c r="Y11" s="111"/>
      <c r="Z11" s="31"/>
      <c r="AA11" s="31"/>
      <c r="AB11" s="31"/>
      <c r="AC11" s="31"/>
      <c r="AD11" s="31"/>
      <c r="AE11" s="31"/>
      <c r="AF11" s="31"/>
      <c r="AG11" s="111"/>
      <c r="AH11" s="111"/>
      <c r="AI11" s="111"/>
      <c r="AJ11" s="111"/>
      <c r="AL11" s="111"/>
      <c r="AM11" s="167" t="s">
        <v>1</v>
      </c>
      <c r="AN11" s="167"/>
      <c r="AO11" s="167"/>
      <c r="AP11" s="168" cm="1">
        <f t="array" ref="AP11">INDEX(Y15:AI39,L4-14,1)</f>
        <v>10</v>
      </c>
      <c r="AQ11" s="168"/>
      <c r="AR11" s="144"/>
      <c r="AS11" s="111"/>
      <c r="AT11" s="111"/>
    </row>
    <row r="12" spans="1:46" ht="15" customHeight="1" thickTop="1" thickBot="1" x14ac:dyDescent="0.3">
      <c r="L12" s="147"/>
      <c r="M12" s="147"/>
      <c r="N12" s="147"/>
      <c r="W12" s="111"/>
      <c r="X12" s="111"/>
      <c r="Y12" s="127" t="s">
        <v>302</v>
      </c>
      <c r="Z12" s="161" t="s">
        <v>305</v>
      </c>
      <c r="AA12" s="161"/>
      <c r="AB12" s="126" t="s">
        <v>313</v>
      </c>
      <c r="AC12" s="160"/>
      <c r="AD12" s="160"/>
      <c r="AE12" s="126" t="s">
        <v>306</v>
      </c>
      <c r="AF12" s="160" t="s">
        <v>305</v>
      </c>
      <c r="AG12" s="160"/>
      <c r="AH12" s="111"/>
      <c r="AI12" s="111"/>
      <c r="AJ12" s="111"/>
      <c r="AL12" s="111"/>
      <c r="AM12" s="167"/>
      <c r="AN12" s="167"/>
      <c r="AO12" s="167"/>
      <c r="AP12" s="168"/>
      <c r="AQ12" s="168"/>
      <c r="AR12" s="144"/>
      <c r="AS12" s="111"/>
      <c r="AT12" s="111"/>
    </row>
    <row r="13" spans="1:46" thickTop="1" thickBot="1" x14ac:dyDescent="0.3">
      <c r="A13" s="150">
        <v>1</v>
      </c>
      <c r="B13" s="150">
        <v>2</v>
      </c>
      <c r="C13" s="150">
        <v>3</v>
      </c>
      <c r="D13" s="150">
        <v>4</v>
      </c>
      <c r="E13" s="150">
        <v>5</v>
      </c>
      <c r="F13" s="150">
        <v>6</v>
      </c>
      <c r="G13" s="150">
        <v>7</v>
      </c>
      <c r="H13" s="150">
        <v>8</v>
      </c>
      <c r="I13" s="150">
        <v>9</v>
      </c>
      <c r="L13" s="147"/>
      <c r="M13" s="147"/>
      <c r="N13" s="147"/>
      <c r="W13" s="31"/>
      <c r="X13" s="31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4"/>
      <c r="AL13" s="123"/>
      <c r="AM13" s="133" t="s">
        <v>322</v>
      </c>
      <c r="AN13" s="133"/>
      <c r="AO13" s="170">
        <f>VLOOKUP('Manage Invoice'!AP11,Table2[],5,FALSE)</f>
        <v>46263</v>
      </c>
      <c r="AP13" s="170"/>
      <c r="AQ13" s="170"/>
      <c r="AR13" s="31"/>
      <c r="AS13" s="31"/>
      <c r="AT13" s="31"/>
    </row>
    <row r="14" spans="1:46" ht="17.25" thickTop="1" thickBot="1" x14ac:dyDescent="0.3">
      <c r="A14" s="148" cm="1">
        <f t="array" ref="A14:I28">_xlfn.LET(
_xlpm.status, Table2[Status],
_xlpm.statusMatch, (_xlpm.status = $H$10) + ($H$10 = "All"),
_xlpm.cust,Table2[Customer],
_xlpm.custMatch, IF(ISNUMBER(SEARCH($I$10,_xlpm.cust)),1,0),
_xlpm.data, _xlfn.CHOOSECOLS(Table2[],1,3,4,5,6,7,11,12,13),
_xlfn._xlws.FILTER(_xlpm.data,IF(_xlpm.statusMatch*_xlpm.custMatch=1,TRUE,FALSE),"")
)</f>
        <v>8</v>
      </c>
      <c r="B14" s="148" t="str">
        <v>PT Sinar Karya Abadi</v>
      </c>
      <c r="C14" s="148">
        <v>0</v>
      </c>
      <c r="D14" s="149">
        <v>46259</v>
      </c>
      <c r="E14" s="149">
        <v>46319</v>
      </c>
      <c r="F14" s="148" t="str">
        <v>Unpaid</v>
      </c>
      <c r="G14" s="148" t="str">
        <v>INV-2026-PT Sinar Karya Abadi-8</v>
      </c>
      <c r="H14" s="147">
        <v>0</v>
      </c>
      <c r="I14" s="147">
        <v>3000000</v>
      </c>
      <c r="L14" s="147"/>
      <c r="M14" s="147"/>
      <c r="N14" s="147"/>
      <c r="R14" s="27">
        <v>0</v>
      </c>
      <c r="W14" s="31"/>
      <c r="X14" s="128" t="s">
        <v>315</v>
      </c>
      <c r="Y14" s="154" t="s">
        <v>323</v>
      </c>
      <c r="Z14" s="154"/>
      <c r="AA14" s="154" t="s">
        <v>46</v>
      </c>
      <c r="AB14" s="154"/>
      <c r="AC14" s="154"/>
      <c r="AD14" s="154"/>
      <c r="AE14" s="154" t="s">
        <v>47</v>
      </c>
      <c r="AF14" s="154"/>
      <c r="AG14" s="154" t="s">
        <v>311</v>
      </c>
      <c r="AH14" s="154"/>
      <c r="AI14" s="154"/>
      <c r="AJ14" s="118"/>
      <c r="AK14" s="120"/>
      <c r="AL14" s="133"/>
      <c r="AM14" s="133" t="s">
        <v>318</v>
      </c>
      <c r="AN14" s="133"/>
      <c r="AO14" s="170">
        <f>VLOOKUP('Manage Invoice'!AP11,Table2[],6,FALSE)</f>
        <v>46263</v>
      </c>
      <c r="AP14" s="170"/>
      <c r="AQ14" s="170"/>
      <c r="AR14" s="134"/>
      <c r="AS14" s="138"/>
      <c r="AT14" s="134"/>
    </row>
    <row r="15" spans="1:46" ht="15.75" customHeight="1" thickTop="1" thickBot="1" x14ac:dyDescent="0.3">
      <c r="A15" s="148">
        <v>9</v>
      </c>
      <c r="B15" s="148" t="str">
        <v>PT XYZ</v>
      </c>
      <c r="C15" s="148">
        <v>4000000</v>
      </c>
      <c r="D15" s="149">
        <v>46263</v>
      </c>
      <c r="E15" s="149">
        <v>46263</v>
      </c>
      <c r="F15" s="148" t="str">
        <v>Unpaid</v>
      </c>
      <c r="G15" s="148" t="str">
        <v>INV-2026-PT XYZ-9</v>
      </c>
      <c r="H15" s="147">
        <v>0</v>
      </c>
      <c r="I15" s="147">
        <v>4000000</v>
      </c>
      <c r="L15" s="147"/>
      <c r="M15" s="147"/>
      <c r="N15" s="147"/>
      <c r="R15" s="111"/>
      <c r="W15" s="31"/>
      <c r="X15" s="141">
        <v>1</v>
      </c>
      <c r="Y15" s="162" cm="1">
        <f t="array" ref="Y15">IF(
INDEX($A:$A,ROW($A14)+$R$14,1)
&lt;&gt;"",
INDEX($A:$I,$R$14+ROW(A14),1),"")</f>
        <v>8</v>
      </c>
      <c r="Z15" s="162"/>
      <c r="AA15" s="157" t="str" cm="1">
        <f t="array" ref="AA15">IF(
INDEX($A:$A,ROW($A14)+$R$14,1)
&lt;&gt;"",
INDEX($A:$I,$R$14+ROW(B14),2),"")</f>
        <v>PT Sinar Karya Abadi</v>
      </c>
      <c r="AB15" s="157"/>
      <c r="AC15" s="157"/>
      <c r="AD15" s="157"/>
      <c r="AE15" s="157" t="str" cm="1">
        <f t="array" ref="AE15">IF(
INDEX($A:$A,ROW($A14)+$R$14,1)
&lt;&gt;"",
INDEX($A:$I,$R$14+ROW(D14),6),"")</f>
        <v>Unpaid</v>
      </c>
      <c r="AF15" s="157"/>
      <c r="AG15" s="163" cm="1">
        <f t="array" ref="AG15">IF(
INDEX($A:$A,ROW($A14)+$R$14,1)
&lt;&gt;"",
INDEX($A:$I,$R$14+ROW(F14),3),"")</f>
        <v>0</v>
      </c>
      <c r="AH15" s="163"/>
      <c r="AI15" s="163"/>
      <c r="AJ15" s="118"/>
      <c r="AK15" s="124"/>
      <c r="AL15" s="133"/>
      <c r="AM15" s="137"/>
      <c r="AN15" s="137"/>
      <c r="AO15" s="137"/>
      <c r="AP15" s="136"/>
      <c r="AQ15" s="137"/>
      <c r="AR15" s="137"/>
      <c r="AS15" s="137"/>
      <c r="AT15" s="137"/>
    </row>
    <row r="16" spans="1:46" thickTop="1" thickBot="1" x14ac:dyDescent="0.3">
      <c r="A16" s="148">
        <v>10</v>
      </c>
      <c r="B16" s="148" t="str">
        <v>PT Manado Lifestyle Center</v>
      </c>
      <c r="C16" s="148">
        <v>4000000</v>
      </c>
      <c r="D16" s="149">
        <v>46263</v>
      </c>
      <c r="E16" s="149">
        <v>46263</v>
      </c>
      <c r="F16" s="148" t="str">
        <v>Unpaid</v>
      </c>
      <c r="G16" s="148" t="str">
        <v>INV-2026-PT Manado Lifestyle Center-10</v>
      </c>
      <c r="H16" s="147">
        <v>0</v>
      </c>
      <c r="I16" s="147">
        <v>4000000</v>
      </c>
      <c r="L16" s="147"/>
      <c r="M16" s="147"/>
      <c r="N16" s="147"/>
      <c r="W16" s="31"/>
      <c r="X16" s="142">
        <f>IF(Y16&lt;&gt;"",X15+1,"")</f>
        <v>2</v>
      </c>
      <c r="Y16" s="158" cm="1">
        <f t="array" ref="Y16">IF(
INDEX($A:$A,ROW($A15)+$R$14,1)
&lt;&gt;"",
INDEX($A:$I,$R$14+ROW(A15),1),"")</f>
        <v>9</v>
      </c>
      <c r="Z16" s="158"/>
      <c r="AA16" s="156" t="str" cm="1">
        <f t="array" ref="AA16">IF(
INDEX($A:$A,ROW($A15)+$R$14,1)
&lt;&gt;"",
INDEX($A:$I,$R$14+ROW(B15),2),"")</f>
        <v>PT XYZ</v>
      </c>
      <c r="AB16" s="156"/>
      <c r="AC16" s="156"/>
      <c r="AD16" s="156"/>
      <c r="AE16" s="156" t="str" cm="1">
        <f t="array" ref="AE16">IF(
INDEX($A:$A,ROW($A15)+$R$14,1)
&lt;&gt;"",
INDEX($A:$I,$R$14+ROW(D15),6),"")</f>
        <v>Unpaid</v>
      </c>
      <c r="AF16" s="156"/>
      <c r="AG16" s="159" cm="1">
        <f t="array" ref="AG16">IF(
INDEX($A:$A,ROW($A15)+$R$14,1)
&lt;&gt;"",
INDEX($A:$I,$R$14+ROW(F15),3),"")</f>
        <v>4000000</v>
      </c>
      <c r="AH16" s="159"/>
      <c r="AI16" s="159"/>
      <c r="AJ16" s="119"/>
      <c r="AK16" s="121"/>
      <c r="AL16" s="133"/>
      <c r="AM16" s="133"/>
      <c r="AN16" s="133"/>
      <c r="AO16" s="134"/>
      <c r="AP16" s="134"/>
      <c r="AQ16" s="134"/>
      <c r="AR16" s="134"/>
      <c r="AS16" s="138"/>
      <c r="AT16" s="134"/>
    </row>
    <row r="17" spans="1:46" thickTop="1" thickBot="1" x14ac:dyDescent="0.3">
      <c r="A17" s="148">
        <v>11</v>
      </c>
      <c r="B17" s="148" t="str">
        <v>PT Makassar Retail Utama</v>
      </c>
      <c r="C17" s="148">
        <v>4000000</v>
      </c>
      <c r="D17" s="149">
        <v>46263</v>
      </c>
      <c r="E17" s="149">
        <v>46323</v>
      </c>
      <c r="F17" s="148" t="str">
        <v>Unpaid</v>
      </c>
      <c r="G17" s="148" t="str">
        <v>INV-2026-PT Makassar Retail Utama-11</v>
      </c>
      <c r="H17" s="147">
        <v>0</v>
      </c>
      <c r="I17" s="147">
        <v>4000000</v>
      </c>
      <c r="L17" s="147"/>
      <c r="M17" s="147"/>
      <c r="N17" s="147"/>
      <c r="W17" s="31"/>
      <c r="X17" s="142">
        <f t="shared" ref="X17:X31" si="0">IF(Y17&lt;&gt;"",X16+1,"")</f>
        <v>3</v>
      </c>
      <c r="Y17" s="158" cm="1">
        <f t="array" ref="Y17">IF(
INDEX($A:$A,ROW($A16)+$R$14,1)
&lt;&gt;"",
INDEX($A:$I,$R$14+ROW(A16),1),"")</f>
        <v>10</v>
      </c>
      <c r="Z17" s="158"/>
      <c r="AA17" s="156" t="str" cm="1">
        <f t="array" ref="AA17">IF(
INDEX($A:$A,ROW($A16)+$R$14,1)
&lt;&gt;"",
INDEX($A:$I,$R$14+ROW(B16),2),"")</f>
        <v>PT Manado Lifestyle Center</v>
      </c>
      <c r="AB17" s="156"/>
      <c r="AC17" s="156"/>
      <c r="AD17" s="156"/>
      <c r="AE17" s="156" t="str" cm="1">
        <f t="array" ref="AE17">IF(
INDEX($A:$A,ROW($A16)+$R$14,1)
&lt;&gt;"",
INDEX($A:$I,$R$14+ROW(D16),6),"")</f>
        <v>Unpaid</v>
      </c>
      <c r="AF17" s="156"/>
      <c r="AG17" s="159" cm="1">
        <f t="array" ref="AG17">IF(
INDEX($A:$A,ROW($A16)+$R$14,1)
&lt;&gt;"",
INDEX($A:$I,$R$14+ROW(F16),3),"")</f>
        <v>4000000</v>
      </c>
      <c r="AH17" s="159"/>
      <c r="AI17" s="159"/>
      <c r="AJ17" s="119"/>
      <c r="AK17" s="121"/>
      <c r="AL17" s="133"/>
      <c r="AM17" s="166" t="s">
        <v>312</v>
      </c>
      <c r="AN17" s="166"/>
      <c r="AO17" s="165" t="s">
        <v>319</v>
      </c>
      <c r="AP17" s="165"/>
      <c r="AQ17" s="165"/>
      <c r="AR17" s="134"/>
      <c r="AS17" s="138"/>
      <c r="AT17" s="134"/>
    </row>
    <row r="18" spans="1:46" ht="15" customHeight="1" thickTop="1" thickBot="1" x14ac:dyDescent="0.3">
      <c r="A18" s="148">
        <v>12</v>
      </c>
      <c r="B18" s="148" t="str">
        <v>PT Metro Perkasa Retail</v>
      </c>
      <c r="C18" s="148">
        <v>4000000</v>
      </c>
      <c r="D18" s="149">
        <v>46262</v>
      </c>
      <c r="E18" s="149">
        <v>46484</v>
      </c>
      <c r="F18" s="148" t="str">
        <v>Unpaid</v>
      </c>
      <c r="G18" s="148" t="str">
        <v>INV-2026-PT Metro Perkasa Retail-12</v>
      </c>
      <c r="H18" s="147">
        <v>0</v>
      </c>
      <c r="I18" s="147">
        <v>4000000</v>
      </c>
      <c r="L18" s="147"/>
      <c r="M18" s="147"/>
      <c r="N18" s="147"/>
      <c r="W18" s="31"/>
      <c r="X18" s="142">
        <f t="shared" si="0"/>
        <v>4</v>
      </c>
      <c r="Y18" s="158" cm="1">
        <f t="array" ref="Y18">IF(
INDEX($A:$A,ROW($A17)+$R$14,1)
&lt;&gt;"",
INDEX($A:$I,$R$14+ROW(A17),1),"")</f>
        <v>11</v>
      </c>
      <c r="Z18" s="158"/>
      <c r="AA18" s="156" t="str" cm="1">
        <f t="array" ref="AA18">IF(
INDEX($A:$A,ROW($A17)+$R$14,1)
&lt;&gt;"",
INDEX($A:$I,$R$14+ROW(B17),2),"")</f>
        <v>PT Makassar Retail Utama</v>
      </c>
      <c r="AB18" s="156"/>
      <c r="AC18" s="156"/>
      <c r="AD18" s="156"/>
      <c r="AE18" s="156" t="str" cm="1">
        <f t="array" ref="AE18">IF(
INDEX($A:$A,ROW($A17)+$R$14,1)
&lt;&gt;"",
INDEX($A:$I,$R$14+ROW(D17),6),"")</f>
        <v>Unpaid</v>
      </c>
      <c r="AF18" s="156"/>
      <c r="AG18" s="159" cm="1">
        <f t="array" ref="AG18">IF(
INDEX($A:$A,ROW($A17)+$R$14,1)
&lt;&gt;"",
INDEX($A:$I,$R$14+ROW(F17),3),"")</f>
        <v>4000000</v>
      </c>
      <c r="AH18" s="159"/>
      <c r="AI18" s="159"/>
      <c r="AJ18" s="119"/>
      <c r="AK18" s="121"/>
      <c r="AL18" s="133"/>
      <c r="AM18" s="171" t="str">
        <f>VLOOKUP('Manage Invoice'!AP11,Table2[],3,FALSE)</f>
        <v>PT Manado Lifestyle Center</v>
      </c>
      <c r="AN18" s="171"/>
      <c r="AO18" s="164">
        <f>VLOOKUP('Manage Invoice'!AP11,Table2[],4,FALSE)</f>
        <v>4000000</v>
      </c>
      <c r="AP18" s="164"/>
      <c r="AQ18" s="164"/>
      <c r="AR18" s="172" t="s">
        <v>321</v>
      </c>
      <c r="AS18" s="172"/>
      <c r="AT18" s="172"/>
    </row>
    <row r="19" spans="1:46" ht="15" customHeight="1" thickTop="1" thickBot="1" x14ac:dyDescent="0.3">
      <c r="A19" s="148">
        <v>13</v>
      </c>
      <c r="B19" s="148" t="str">
        <v>PT XYZ</v>
      </c>
      <c r="C19" s="148">
        <v>4850000</v>
      </c>
      <c r="D19" s="149">
        <v>46235</v>
      </c>
      <c r="E19" s="149">
        <v>46265</v>
      </c>
      <c r="F19" s="148" t="str">
        <v>Paid</v>
      </c>
      <c r="G19" s="148" t="str">
        <v>INV-2026-PT XYZ-13</v>
      </c>
      <c r="H19" s="147">
        <v>0</v>
      </c>
      <c r="I19" s="147">
        <v>4850000</v>
      </c>
      <c r="L19" s="147"/>
      <c r="M19" s="147"/>
      <c r="N19" s="147"/>
      <c r="W19" s="31"/>
      <c r="X19" s="142">
        <f t="shared" si="0"/>
        <v>5</v>
      </c>
      <c r="Y19" s="158" cm="1">
        <f t="array" ref="Y19">IF(
INDEX($A:$A,ROW($A18)+$R$14,1)
&lt;&gt;"",
INDEX($A:$I,$R$14+ROW(A18),1),"")</f>
        <v>12</v>
      </c>
      <c r="Z19" s="158"/>
      <c r="AA19" s="156" t="str" cm="1">
        <f t="array" ref="AA19">IF(
INDEX($A:$A,ROW($A18)+$R$14,1)
&lt;&gt;"",
INDEX($A:$I,$R$14+ROW(B18),2),"")</f>
        <v>PT Metro Perkasa Retail</v>
      </c>
      <c r="AB19" s="156"/>
      <c r="AC19" s="156"/>
      <c r="AD19" s="156"/>
      <c r="AE19" s="156" t="str" cm="1">
        <f t="array" ref="AE19">IF(
INDEX($A:$A,ROW($A18)+$R$14,1)
&lt;&gt;"",
INDEX($A:$I,$R$14+ROW(D18),6),"")</f>
        <v>Unpaid</v>
      </c>
      <c r="AF19" s="156"/>
      <c r="AG19" s="159" cm="1">
        <f t="array" ref="AG19">IF(
INDEX($A:$A,ROW($A18)+$R$14,1)
&lt;&gt;"",
INDEX($A:$I,$R$14+ROW(F18),3),"")</f>
        <v>4000000</v>
      </c>
      <c r="AH19" s="159"/>
      <c r="AI19" s="159"/>
      <c r="AJ19" s="119"/>
      <c r="AK19" s="121"/>
      <c r="AL19" s="133"/>
      <c r="AM19" s="171"/>
      <c r="AN19" s="171"/>
      <c r="AO19" s="134"/>
      <c r="AP19" s="134"/>
      <c r="AQ19" s="133"/>
      <c r="AR19" s="169">
        <f>VLOOKUP('Manage Invoice'!AP11,Table2[],13,FALSE)</f>
        <v>4000000</v>
      </c>
      <c r="AS19" s="169"/>
      <c r="AT19" s="169"/>
    </row>
    <row r="20" spans="1:46" thickTop="1" thickBot="1" x14ac:dyDescent="0.3">
      <c r="A20" s="148">
        <v>14</v>
      </c>
      <c r="B20" s="148" t="str">
        <v>PT Arunika Retail Indonesia</v>
      </c>
      <c r="C20" s="148">
        <v>7250000</v>
      </c>
      <c r="D20" s="149">
        <v>46236</v>
      </c>
      <c r="E20" s="149">
        <v>46266</v>
      </c>
      <c r="F20" s="148" t="str">
        <v>Partially Paid</v>
      </c>
      <c r="G20" s="148" t="str">
        <v>INV-2026-PT Arunika Retail Indonesia-14</v>
      </c>
      <c r="H20" s="147">
        <v>3000000</v>
      </c>
      <c r="I20" s="147">
        <v>4250000</v>
      </c>
      <c r="L20" s="147"/>
      <c r="M20" s="147"/>
      <c r="N20" s="147"/>
      <c r="W20" s="31"/>
      <c r="X20" s="142">
        <f t="shared" si="0"/>
        <v>6</v>
      </c>
      <c r="Y20" s="158" cm="1">
        <f t="array" ref="Y20">IF(
INDEX($A:$A,ROW($A19)+$R$14,1)
&lt;&gt;"",
INDEX($A:$I,$R$14+ROW(A19),1),"")</f>
        <v>13</v>
      </c>
      <c r="Z20" s="158"/>
      <c r="AA20" s="156" t="str" cm="1">
        <f t="array" ref="AA20">IF(
INDEX($A:$A,ROW($A19)+$R$14,1)
&lt;&gt;"",
INDEX($A:$I,$R$14+ROW(B19),2),"")</f>
        <v>PT XYZ</v>
      </c>
      <c r="AB20" s="156"/>
      <c r="AC20" s="156"/>
      <c r="AD20" s="156"/>
      <c r="AE20" s="156" t="str" cm="1">
        <f t="array" ref="AE20">IF(
INDEX($A:$A,ROW($A19)+$R$14,1)
&lt;&gt;"",
INDEX($A:$I,$R$14+ROW(D19),6),"")</f>
        <v>Paid</v>
      </c>
      <c r="AF20" s="156"/>
      <c r="AG20" s="159" cm="1">
        <f t="array" ref="AG20">IF(
INDEX($A:$A,ROW($A19)+$R$14,1)
&lt;&gt;"",
INDEX($A:$I,$R$14+ROW(F19),3),"")</f>
        <v>4850000</v>
      </c>
      <c r="AH20" s="159"/>
      <c r="AI20" s="159"/>
      <c r="AJ20" s="119"/>
      <c r="AK20" s="121"/>
      <c r="AL20" s="135"/>
      <c r="AM20" s="171"/>
      <c r="AN20" s="171"/>
      <c r="AO20" s="172" t="s">
        <v>320</v>
      </c>
      <c r="AP20" s="172"/>
      <c r="AQ20" s="172"/>
      <c r="AR20" s="169"/>
      <c r="AS20" s="169"/>
      <c r="AT20" s="169"/>
    </row>
    <row r="21" spans="1:46" thickTop="1" thickBot="1" x14ac:dyDescent="0.3">
      <c r="A21" s="148">
        <v>15</v>
      </c>
      <c r="B21" s="148" t="str">
        <v>PT Sinar Karya Abadi</v>
      </c>
      <c r="C21" s="148">
        <v>12500000</v>
      </c>
      <c r="D21" s="149">
        <v>46237</v>
      </c>
      <c r="E21" s="149">
        <v>46267</v>
      </c>
      <c r="F21" s="148" t="str">
        <v>Paid</v>
      </c>
      <c r="G21" s="148" t="str">
        <v>INV-2026-PT Sinar Karya Abadi-15</v>
      </c>
      <c r="H21" s="147">
        <v>12500000</v>
      </c>
      <c r="I21" s="147">
        <v>0</v>
      </c>
      <c r="L21" s="147"/>
      <c r="M21" s="147"/>
      <c r="N21" s="147"/>
      <c r="W21" s="31"/>
      <c r="X21" s="142">
        <f t="shared" si="0"/>
        <v>7</v>
      </c>
      <c r="Y21" s="158" cm="1">
        <f t="array" ref="Y21">IF(
INDEX($A:$A,ROW($A20)+$R$14,1)
&lt;&gt;"",
INDEX($A:$I,$R$14+ROW(A20),1),"")</f>
        <v>14</v>
      </c>
      <c r="Z21" s="158"/>
      <c r="AA21" s="156" t="str" cm="1">
        <f t="array" ref="AA21">IF(
INDEX($A:$A,ROW($A20)+$R$14,1)
&lt;&gt;"",
INDEX($A:$I,$R$14+ROW(B20),2),"")</f>
        <v>PT Arunika Retail Indonesia</v>
      </c>
      <c r="AB21" s="156"/>
      <c r="AC21" s="156"/>
      <c r="AD21" s="156"/>
      <c r="AE21" s="156" t="str" cm="1">
        <f t="array" ref="AE21">IF(
INDEX($A:$A,ROW($A20)+$R$14,1)
&lt;&gt;"",
INDEX($A:$I,$R$14+ROW(D20),6),"")</f>
        <v>Partially Paid</v>
      </c>
      <c r="AF21" s="156"/>
      <c r="AG21" s="159" cm="1">
        <f t="array" ref="AG21">IF(
INDEX($A:$A,ROW($A20)+$R$14,1)
&lt;&gt;"",
INDEX($A:$I,$R$14+ROW(F20),3),"")</f>
        <v>7250000</v>
      </c>
      <c r="AH21" s="159"/>
      <c r="AI21" s="159"/>
      <c r="AJ21" s="119"/>
      <c r="AK21" s="122"/>
      <c r="AL21" s="133"/>
      <c r="AM21" s="139"/>
      <c r="AN21" s="139"/>
      <c r="AO21" s="164">
        <f>VLOOKUP('Manage Invoice'!AP11,Table2[],12,FALSE)</f>
        <v>0</v>
      </c>
      <c r="AP21" s="164"/>
      <c r="AQ21" s="164"/>
      <c r="AR21" s="134"/>
      <c r="AS21" s="138"/>
      <c r="AT21" s="134"/>
    </row>
    <row r="22" spans="1:46" thickTop="1" thickBot="1" x14ac:dyDescent="0.3">
      <c r="A22" s="148">
        <v>16</v>
      </c>
      <c r="B22" s="148" t="str">
        <v>PT Citra Home Living</v>
      </c>
      <c r="C22" s="148">
        <v>3750000</v>
      </c>
      <c r="D22" s="149">
        <v>46239</v>
      </c>
      <c r="E22" s="149">
        <v>46254</v>
      </c>
      <c r="F22" s="148" t="str">
        <v>Overdue</v>
      </c>
      <c r="G22" s="148" t="str">
        <v>INV-2026-PT Citra Home Living-16</v>
      </c>
      <c r="H22" s="147">
        <v>0</v>
      </c>
      <c r="I22" s="147">
        <v>3750000</v>
      </c>
      <c r="L22" s="147"/>
      <c r="M22" s="147"/>
      <c r="N22" s="147"/>
      <c r="W22" s="31"/>
      <c r="X22" s="142">
        <f t="shared" si="0"/>
        <v>8</v>
      </c>
      <c r="Y22" s="158" cm="1">
        <f t="array" ref="Y22">IF(
INDEX($A:$A,ROW($A21)+$R$14,1)
&lt;&gt;"",
INDEX($A:$I,$R$14+ROW(A21),1),"")</f>
        <v>15</v>
      </c>
      <c r="Z22" s="158"/>
      <c r="AA22" s="156" t="str" cm="1">
        <f t="array" ref="AA22">IF(
INDEX($A:$A,ROW($A21)+$R$14,1)
&lt;&gt;"",
INDEX($A:$I,$R$14+ROW(B21),2),"")</f>
        <v>PT Sinar Karya Abadi</v>
      </c>
      <c r="AB22" s="156"/>
      <c r="AC22" s="156"/>
      <c r="AD22" s="156"/>
      <c r="AE22" s="156" t="str" cm="1">
        <f t="array" ref="AE22">IF(
INDEX($A:$A,ROW($A21)+$R$14,1)
&lt;&gt;"",
INDEX($A:$I,$R$14+ROW(D21),6),"")</f>
        <v>Paid</v>
      </c>
      <c r="AF22" s="156"/>
      <c r="AG22" s="159" cm="1">
        <f t="array" ref="AG22">IF(
INDEX($A:$A,ROW($A21)+$R$14,1)
&lt;&gt;"",
INDEX($A:$I,$R$14+ROW(F21),3),"")</f>
        <v>12500000</v>
      </c>
      <c r="AH22" s="159"/>
      <c r="AI22" s="159"/>
      <c r="AJ22" s="119"/>
      <c r="AK22" s="122"/>
      <c r="AL22" s="31"/>
      <c r="AM22" s="132"/>
      <c r="AN22" s="132"/>
      <c r="AO22" s="131"/>
      <c r="AP22" s="131"/>
      <c r="AQ22" s="130"/>
      <c r="AR22" s="130"/>
      <c r="AS22" s="130"/>
      <c r="AT22" s="130"/>
    </row>
    <row r="23" spans="1:46" thickTop="1" thickBot="1" x14ac:dyDescent="0.3">
      <c r="A23" s="148">
        <v>17</v>
      </c>
      <c r="B23" s="148" t="str">
        <v>PT Prima Retail Bandung</v>
      </c>
      <c r="C23" s="148">
        <v>6400000</v>
      </c>
      <c r="D23" s="149">
        <v>46240</v>
      </c>
      <c r="E23" s="149">
        <v>46270</v>
      </c>
      <c r="F23" s="148" t="str">
        <v>Unpaid</v>
      </c>
      <c r="G23" s="148" t="str">
        <v>INV-2026-PT Prima Retail Bandung-17</v>
      </c>
      <c r="H23" s="147">
        <v>0</v>
      </c>
      <c r="I23" s="147">
        <v>6400000</v>
      </c>
      <c r="L23" s="147"/>
      <c r="M23" s="147"/>
      <c r="N23" s="147"/>
      <c r="W23" s="31"/>
      <c r="X23" s="142">
        <f t="shared" si="0"/>
        <v>9</v>
      </c>
      <c r="Y23" s="158" cm="1">
        <f t="array" ref="Y23">IF(
INDEX($A:$A,ROW($A22)+$R$14,1)
&lt;&gt;"",
INDEX($A:$I,$R$14+ROW(A22),1),"")</f>
        <v>16</v>
      </c>
      <c r="Z23" s="158"/>
      <c r="AA23" s="156" t="str" cm="1">
        <f t="array" ref="AA23">IF(
INDEX($A:$A,ROW($A22)+$R$14,1)
&lt;&gt;"",
INDEX($A:$I,$R$14+ROW(B22),2),"")</f>
        <v>PT Citra Home Living</v>
      </c>
      <c r="AB23" s="156"/>
      <c r="AC23" s="156"/>
      <c r="AD23" s="156"/>
      <c r="AE23" s="156" t="str" cm="1">
        <f t="array" ref="AE23">IF(
INDEX($A:$A,ROW($A22)+$R$14,1)
&lt;&gt;"",
INDEX($A:$I,$R$14+ROW(D22),6),"")</f>
        <v>Overdue</v>
      </c>
      <c r="AF23" s="156"/>
      <c r="AG23" s="159" cm="1">
        <f t="array" ref="AG23">IF(
INDEX($A:$A,ROW($A22)+$R$14,1)
&lt;&gt;"",
INDEX($A:$I,$R$14+ROW(F22),3),"")</f>
        <v>3750000</v>
      </c>
      <c r="AH23" s="159"/>
      <c r="AI23" s="159"/>
      <c r="AJ23" s="119"/>
      <c r="AK23" s="122"/>
      <c r="AL23" s="122"/>
      <c r="AM23" s="122"/>
    </row>
    <row r="24" spans="1:46" thickTop="1" thickBot="1" x14ac:dyDescent="0.3">
      <c r="A24" s="148">
        <v>18</v>
      </c>
      <c r="B24" s="148" t="str">
        <v>PT Sentra Belanja Jaya</v>
      </c>
      <c r="C24" s="148">
        <v>9850000</v>
      </c>
      <c r="D24" s="149">
        <v>46241</v>
      </c>
      <c r="E24" s="149">
        <v>46256</v>
      </c>
      <c r="F24" s="148" t="str">
        <v>Overdue</v>
      </c>
      <c r="G24" s="148" t="str">
        <v>INV-2026-PT Sentra Belanja Jaya-18</v>
      </c>
      <c r="H24" s="147">
        <v>2000000</v>
      </c>
      <c r="I24" s="147">
        <v>7850000</v>
      </c>
      <c r="L24" s="147"/>
      <c r="M24" s="147"/>
      <c r="N24" s="147"/>
      <c r="W24" s="31"/>
      <c r="X24" s="142">
        <f t="shared" si="0"/>
        <v>10</v>
      </c>
      <c r="Y24" s="158" cm="1">
        <f t="array" ref="Y24">IF(
INDEX($A:$A,ROW($A23)+$R$14,1)
&lt;&gt;"",
INDEX($A:$I,$R$14+ROW(A23),1),"")</f>
        <v>17</v>
      </c>
      <c r="Z24" s="158"/>
      <c r="AA24" s="156" t="str" cm="1">
        <f t="array" ref="AA24">IF(
INDEX($A:$A,ROW($A23)+$R$14,1)
&lt;&gt;"",
INDEX($A:$I,$R$14+ROW(B23),2),"")</f>
        <v>PT Prima Retail Bandung</v>
      </c>
      <c r="AB24" s="156"/>
      <c r="AC24" s="156"/>
      <c r="AD24" s="156"/>
      <c r="AE24" s="156" t="str" cm="1">
        <f t="array" ref="AE24">IF(
INDEX($A:$A,ROW($A23)+$R$14,1)
&lt;&gt;"",
INDEX($A:$I,$R$14+ROW(D23),6),"")</f>
        <v>Unpaid</v>
      </c>
      <c r="AF24" s="156"/>
      <c r="AG24" s="159" cm="1">
        <f t="array" ref="AG24">IF(
INDEX($A:$A,ROW($A23)+$R$14,1)
&lt;&gt;"",
INDEX($A:$I,$R$14+ROW(F23),3),"")</f>
        <v>6400000</v>
      </c>
      <c r="AH24" s="159"/>
      <c r="AI24" s="159"/>
      <c r="AJ24" s="119"/>
      <c r="AK24" s="122"/>
      <c r="AL24" s="31"/>
      <c r="AM24" s="31"/>
      <c r="AN24" s="111"/>
      <c r="AO24" s="111"/>
      <c r="AP24" s="111"/>
      <c r="AQ24" s="111"/>
      <c r="AR24" s="111"/>
      <c r="AS24" s="111"/>
      <c r="AT24" s="111"/>
    </row>
    <row r="25" spans="1:46" ht="17.25" thickTop="1" thickBot="1" x14ac:dyDescent="0.3">
      <c r="A25" s="148">
        <v>19</v>
      </c>
      <c r="B25" s="148" t="str">
        <v>PT Karya Mitra Retail</v>
      </c>
      <c r="C25" s="148">
        <v>5600000</v>
      </c>
      <c r="D25" s="149">
        <v>46242</v>
      </c>
      <c r="E25" s="149">
        <v>46272</v>
      </c>
      <c r="F25" s="148" t="str">
        <v>Paid</v>
      </c>
      <c r="G25" s="148" t="str">
        <v>INV-2026-PT Karya Mitra Retail-19</v>
      </c>
      <c r="H25" s="147">
        <v>5600000</v>
      </c>
      <c r="I25" s="147">
        <v>0</v>
      </c>
      <c r="W25" s="111"/>
      <c r="X25" s="142" t="str">
        <f t="shared" si="0"/>
        <v/>
      </c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11"/>
      <c r="AL25" s="111"/>
      <c r="AM25" s="128" t="s">
        <v>315</v>
      </c>
      <c r="AN25" s="154" t="s">
        <v>316</v>
      </c>
      <c r="AO25" s="154"/>
      <c r="AP25" s="154"/>
      <c r="AQ25" s="129" t="s">
        <v>5</v>
      </c>
      <c r="AR25" s="154" t="s">
        <v>317</v>
      </c>
      <c r="AS25" s="154"/>
      <c r="AT25" s="129"/>
    </row>
    <row r="26" spans="1:46" ht="16.5" customHeight="1" thickTop="1" thickBot="1" x14ac:dyDescent="0.3">
      <c r="A26" s="148">
        <v>20</v>
      </c>
      <c r="B26" s="148" t="str">
        <v>PT Metro Perkasa Retail</v>
      </c>
      <c r="C26" s="148">
        <v>2950000</v>
      </c>
      <c r="D26" s="149">
        <v>46244</v>
      </c>
      <c r="E26" s="149">
        <v>46274</v>
      </c>
      <c r="F26" s="148" t="str">
        <v>Partially Paid</v>
      </c>
      <c r="G26" s="148" t="str">
        <v>INV-2026-PT Metro Perkasa Retail-20</v>
      </c>
      <c r="H26" s="147">
        <v>1000000</v>
      </c>
      <c r="I26" s="147">
        <v>1950000</v>
      </c>
      <c r="W26" s="111"/>
      <c r="X26" s="142" t="str">
        <f t="shared" si="0"/>
        <v/>
      </c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11"/>
      <c r="AL26" s="111"/>
      <c r="AM26" s="143">
        <v>1</v>
      </c>
      <c r="AN26" s="152" t="str">
        <f>IF(L8="","",L8)</f>
        <v/>
      </c>
      <c r="AO26" s="152"/>
      <c r="AP26" s="152"/>
      <c r="AQ26" s="146" t="str">
        <f>IF(M8="","",M8)</f>
        <v/>
      </c>
      <c r="AR26" s="153" t="str">
        <f>IF(N8="","",N8)</f>
        <v/>
      </c>
      <c r="AS26" s="153"/>
      <c r="AT26" s="31"/>
    </row>
    <row r="27" spans="1:46" ht="16.5" customHeight="1" thickTop="1" thickBot="1" x14ac:dyDescent="0.3">
      <c r="A27" s="148">
        <v>21</v>
      </c>
      <c r="B27" s="148" t="str">
        <v>PT Jogja Retail Makmur</v>
      </c>
      <c r="C27" s="148">
        <v>15750000</v>
      </c>
      <c r="D27" s="149">
        <v>46245</v>
      </c>
      <c r="E27" s="149">
        <v>46275</v>
      </c>
      <c r="F27" s="148" t="str">
        <v>Unpaid</v>
      </c>
      <c r="G27" s="148" t="str">
        <v>INV-2026-PT Jogja Retail Makmur-21</v>
      </c>
      <c r="H27" s="147">
        <v>0</v>
      </c>
      <c r="I27" s="147">
        <v>15750000</v>
      </c>
      <c r="W27" s="111"/>
      <c r="X27" s="142" t="str">
        <f t="shared" si="0"/>
        <v/>
      </c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11"/>
      <c r="AL27" s="111"/>
      <c r="AM27" s="143" t="str">
        <f>IF(AN27&lt;&gt;"",AM26+1,"")</f>
        <v/>
      </c>
      <c r="AN27" s="152" t="str">
        <f t="shared" ref="AN27:AN39" si="1">IF(L9="","",L9)</f>
        <v/>
      </c>
      <c r="AO27" s="152"/>
      <c r="AP27" s="152"/>
      <c r="AQ27" s="146" t="str">
        <f t="shared" ref="AQ27:AQ39" si="2">IF(M9="","",M9)</f>
        <v/>
      </c>
      <c r="AR27" s="153" t="str">
        <f t="shared" ref="AR27:AR39" si="3">IF(N9="","",N9)</f>
        <v/>
      </c>
      <c r="AS27" s="153"/>
      <c r="AT27" s="31"/>
    </row>
    <row r="28" spans="1:46" thickTop="1" thickBot="1" x14ac:dyDescent="0.3">
      <c r="A28" s="148">
        <v>22</v>
      </c>
      <c r="B28" s="148" t="str">
        <v>PT Bali Lifestyle Market</v>
      </c>
      <c r="C28" s="148">
        <v>8200000</v>
      </c>
      <c r="D28" s="149">
        <v>46246</v>
      </c>
      <c r="E28" s="149">
        <v>46261</v>
      </c>
      <c r="F28" s="148" t="str">
        <v>Overdue</v>
      </c>
      <c r="G28" s="148" t="str">
        <v>INV-2026-PT Bali Lifestyle Market-22</v>
      </c>
      <c r="H28" s="147">
        <v>4000000</v>
      </c>
      <c r="I28" s="147">
        <v>4200000</v>
      </c>
      <c r="W28" s="111"/>
      <c r="X28" s="142" t="str">
        <f t="shared" si="0"/>
        <v/>
      </c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11"/>
      <c r="AL28" s="111"/>
      <c r="AM28" s="143" t="str">
        <f>IF(AN28&lt;&gt;"",AM27+1,"")</f>
        <v/>
      </c>
      <c r="AN28" s="152" t="str">
        <f t="shared" si="1"/>
        <v/>
      </c>
      <c r="AO28" s="152"/>
      <c r="AP28" s="152"/>
      <c r="AQ28" s="146" t="str">
        <f t="shared" si="2"/>
        <v/>
      </c>
      <c r="AR28" s="153" t="str">
        <f t="shared" si="3"/>
        <v/>
      </c>
      <c r="AS28" s="153"/>
      <c r="AT28" s="31"/>
    </row>
    <row r="29" spans="1:46" thickTop="1" thickBot="1" x14ac:dyDescent="0.3">
      <c r="W29" s="111"/>
      <c r="X29" s="142" t="str">
        <f t="shared" si="0"/>
        <v/>
      </c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11"/>
      <c r="AL29" s="111"/>
      <c r="AM29" s="143" t="str">
        <f t="shared" ref="AM29:AM39" si="4">IF(AN29&lt;&gt;"",AM28+1,"")</f>
        <v/>
      </c>
      <c r="AN29" s="152" t="str">
        <f t="shared" si="1"/>
        <v/>
      </c>
      <c r="AO29" s="152"/>
      <c r="AP29" s="152"/>
      <c r="AQ29" s="146" t="str">
        <f t="shared" si="2"/>
        <v/>
      </c>
      <c r="AR29" s="153" t="str">
        <f t="shared" si="3"/>
        <v/>
      </c>
      <c r="AS29" s="153"/>
      <c r="AT29" s="31"/>
    </row>
    <row r="30" spans="1:46" thickTop="1" thickBot="1" x14ac:dyDescent="0.3">
      <c r="W30" s="111"/>
      <c r="X30" s="142" t="str">
        <f t="shared" si="0"/>
        <v/>
      </c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11"/>
      <c r="AL30" s="111"/>
      <c r="AM30" s="143" t="str">
        <f>IF(AN30&lt;&gt;"",AM29+1,"")</f>
        <v/>
      </c>
      <c r="AN30" s="152" t="str">
        <f t="shared" si="1"/>
        <v/>
      </c>
      <c r="AO30" s="152"/>
      <c r="AP30" s="152"/>
      <c r="AQ30" s="146" t="str">
        <f t="shared" si="2"/>
        <v/>
      </c>
      <c r="AR30" s="153" t="str">
        <f t="shared" si="3"/>
        <v/>
      </c>
      <c r="AS30" s="153"/>
      <c r="AT30" s="31"/>
    </row>
    <row r="31" spans="1:46" thickTop="1" thickBot="1" x14ac:dyDescent="0.3">
      <c r="W31" s="111"/>
      <c r="X31" s="142" t="str">
        <f t="shared" si="0"/>
        <v/>
      </c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11"/>
      <c r="AL31" s="111"/>
      <c r="AM31" s="143" t="str">
        <f>IF(AN31&lt;&gt;"",AM30+1,"")</f>
        <v/>
      </c>
      <c r="AN31" s="152" t="str">
        <f t="shared" si="1"/>
        <v/>
      </c>
      <c r="AO31" s="152"/>
      <c r="AP31" s="152"/>
      <c r="AQ31" s="146" t="str">
        <f t="shared" si="2"/>
        <v/>
      </c>
      <c r="AR31" s="153" t="str">
        <f t="shared" si="3"/>
        <v/>
      </c>
      <c r="AS31" s="153"/>
      <c r="AT31" s="31"/>
    </row>
    <row r="32" spans="1:46" thickTop="1" thickBot="1" x14ac:dyDescent="0.3">
      <c r="W32" s="111"/>
      <c r="X32" s="111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11"/>
      <c r="AL32" s="111"/>
      <c r="AM32" s="143" t="str">
        <f t="shared" si="4"/>
        <v/>
      </c>
      <c r="AN32" s="152" t="str">
        <f t="shared" si="1"/>
        <v/>
      </c>
      <c r="AO32" s="152"/>
      <c r="AP32" s="152"/>
      <c r="AQ32" s="146" t="str">
        <f t="shared" si="2"/>
        <v/>
      </c>
      <c r="AR32" s="153" t="str">
        <f t="shared" si="3"/>
        <v/>
      </c>
      <c r="AS32" s="153"/>
      <c r="AT32" s="31"/>
    </row>
    <row r="33" spans="5:46" thickTop="1" thickBot="1" x14ac:dyDescent="0.3">
      <c r="W33" s="111"/>
      <c r="X33" s="111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11"/>
      <c r="AL33" s="111"/>
      <c r="AM33" s="143" t="str">
        <f t="shared" si="4"/>
        <v/>
      </c>
      <c r="AN33" s="152" t="str">
        <f t="shared" si="1"/>
        <v/>
      </c>
      <c r="AO33" s="152"/>
      <c r="AP33" s="152"/>
      <c r="AQ33" s="146" t="str">
        <f t="shared" si="2"/>
        <v/>
      </c>
      <c r="AR33" s="153" t="str">
        <f t="shared" si="3"/>
        <v/>
      </c>
      <c r="AS33" s="153"/>
      <c r="AT33" s="31"/>
    </row>
    <row r="34" spans="5:46" thickTop="1" thickBot="1" x14ac:dyDescent="0.3">
      <c r="W34" s="111"/>
      <c r="X34" s="111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11"/>
      <c r="AL34" s="111"/>
      <c r="AM34" s="143" t="str">
        <f t="shared" si="4"/>
        <v/>
      </c>
      <c r="AN34" s="152" t="str">
        <f t="shared" si="1"/>
        <v/>
      </c>
      <c r="AO34" s="152"/>
      <c r="AP34" s="152"/>
      <c r="AQ34" s="146" t="str">
        <f t="shared" si="2"/>
        <v/>
      </c>
      <c r="AR34" s="153" t="str">
        <f t="shared" si="3"/>
        <v/>
      </c>
      <c r="AS34" s="153"/>
      <c r="AT34" s="31"/>
    </row>
    <row r="35" spans="5:46" thickTop="1" thickBot="1" x14ac:dyDescent="0.3">
      <c r="W35" s="111"/>
      <c r="X35" s="111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11"/>
      <c r="AL35" s="111"/>
      <c r="AM35" s="143" t="str">
        <f t="shared" si="4"/>
        <v/>
      </c>
      <c r="AN35" s="152" t="str">
        <f t="shared" si="1"/>
        <v/>
      </c>
      <c r="AO35" s="152"/>
      <c r="AP35" s="152"/>
      <c r="AQ35" s="146" t="str">
        <f t="shared" si="2"/>
        <v/>
      </c>
      <c r="AR35" s="153" t="str">
        <f t="shared" si="3"/>
        <v/>
      </c>
      <c r="AS35" s="153"/>
      <c r="AT35" s="31"/>
    </row>
    <row r="36" spans="5:46" thickTop="1" thickBot="1" x14ac:dyDescent="0.3">
      <c r="W36" s="111"/>
      <c r="X36" s="111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11"/>
      <c r="AL36" s="111"/>
      <c r="AM36" s="143" t="str">
        <f t="shared" si="4"/>
        <v/>
      </c>
      <c r="AN36" s="152" t="str">
        <f t="shared" si="1"/>
        <v/>
      </c>
      <c r="AO36" s="152"/>
      <c r="AP36" s="152"/>
      <c r="AQ36" s="146" t="str">
        <f t="shared" si="2"/>
        <v/>
      </c>
      <c r="AR36" s="153" t="str">
        <f t="shared" si="3"/>
        <v/>
      </c>
      <c r="AS36" s="153"/>
      <c r="AT36" s="31"/>
    </row>
    <row r="37" spans="5:46" thickTop="1" thickBot="1" x14ac:dyDescent="0.3">
      <c r="W37" s="111"/>
      <c r="X37" s="111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11"/>
      <c r="AL37" s="111"/>
      <c r="AM37" s="143" t="str">
        <f t="shared" si="4"/>
        <v/>
      </c>
      <c r="AN37" s="152" t="str">
        <f t="shared" si="1"/>
        <v/>
      </c>
      <c r="AO37" s="152"/>
      <c r="AP37" s="152"/>
      <c r="AQ37" s="146" t="str">
        <f t="shared" si="2"/>
        <v/>
      </c>
      <c r="AR37" s="153" t="str">
        <f t="shared" si="3"/>
        <v/>
      </c>
      <c r="AS37" s="153"/>
      <c r="AT37" s="31"/>
    </row>
    <row r="38" spans="5:46" thickTop="1" thickBot="1" x14ac:dyDescent="0.3">
      <c r="W38" s="111"/>
      <c r="X38" s="111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11"/>
      <c r="AL38" s="111"/>
      <c r="AM38" s="143" t="str">
        <f t="shared" si="4"/>
        <v/>
      </c>
      <c r="AN38" s="152" t="str">
        <f t="shared" si="1"/>
        <v/>
      </c>
      <c r="AO38" s="152"/>
      <c r="AP38" s="152"/>
      <c r="AQ38" s="146" t="str">
        <f t="shared" si="2"/>
        <v/>
      </c>
      <c r="AR38" s="153" t="str">
        <f t="shared" si="3"/>
        <v/>
      </c>
      <c r="AS38" s="153"/>
      <c r="AT38" s="31"/>
    </row>
    <row r="39" spans="5:46" thickTop="1" thickBot="1" x14ac:dyDescent="0.3">
      <c r="W39" s="111"/>
      <c r="X39" s="111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11"/>
      <c r="AL39" s="111"/>
      <c r="AM39" s="143" t="str">
        <f t="shared" si="4"/>
        <v/>
      </c>
      <c r="AN39" s="152" t="str">
        <f t="shared" si="1"/>
        <v/>
      </c>
      <c r="AO39" s="152"/>
      <c r="AP39" s="152"/>
      <c r="AQ39" s="146" t="str">
        <f t="shared" si="2"/>
        <v/>
      </c>
      <c r="AR39" s="153" t="str">
        <f t="shared" si="3"/>
        <v/>
      </c>
      <c r="AS39" s="153"/>
      <c r="AT39" s="31"/>
    </row>
    <row r="40" spans="5:46" ht="23.25" customHeight="1" thickTop="1" thickBot="1" x14ac:dyDescent="0.3">
      <c r="W40" s="111"/>
      <c r="X40" s="111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11"/>
      <c r="AL40" s="111"/>
      <c r="AM40" s="31"/>
      <c r="AN40" s="125"/>
      <c r="AO40" s="125"/>
      <c r="AP40" s="125"/>
      <c r="AQ40" s="125"/>
      <c r="AR40" s="125"/>
      <c r="AS40" s="125"/>
      <c r="AT40" s="31"/>
    </row>
    <row r="41" spans="5:46" thickTop="1" thickBot="1" x14ac:dyDescent="0.3">
      <c r="E41" s="15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L41" s="111"/>
      <c r="AM41" s="111"/>
      <c r="AN41" s="111"/>
      <c r="AO41" s="111"/>
      <c r="AP41" s="111"/>
      <c r="AQ41" s="111"/>
      <c r="AR41" s="111"/>
      <c r="AS41" s="111"/>
      <c r="AT41" s="111"/>
    </row>
    <row r="42" spans="5:46" thickTop="1" thickBot="1" x14ac:dyDescent="0.3">
      <c r="E42" s="151"/>
    </row>
    <row r="43" spans="5:46" thickTop="1" thickBot="1" x14ac:dyDescent="0.3">
      <c r="E43" s="151"/>
    </row>
    <row r="44" spans="5:46" thickTop="1" thickBot="1" x14ac:dyDescent="0.3">
      <c r="E44" s="151"/>
    </row>
    <row r="45" spans="5:46" thickTop="1" thickBot="1" x14ac:dyDescent="0.3">
      <c r="E45" s="151"/>
    </row>
    <row r="46" spans="5:46" thickTop="1" thickBot="1" x14ac:dyDescent="0.3">
      <c r="E46" s="151"/>
    </row>
    <row r="47" spans="5:46" thickTop="1" thickBot="1" x14ac:dyDescent="0.3">
      <c r="E47" s="151"/>
    </row>
    <row r="48" spans="5:46" thickTop="1" thickBot="1" x14ac:dyDescent="0.3">
      <c r="E48" s="151"/>
    </row>
    <row r="49" spans="5:5" thickTop="1" thickBot="1" x14ac:dyDescent="0.3">
      <c r="E49" s="151"/>
    </row>
    <row r="50" spans="5:5" thickTop="1" thickBot="1" x14ac:dyDescent="0.3">
      <c r="E50" s="151"/>
    </row>
    <row r="51" spans="5:5" thickTop="1" thickBot="1" x14ac:dyDescent="0.3">
      <c r="E51" s="151"/>
    </row>
    <row r="52" spans="5:5" thickTop="1" thickBot="1" x14ac:dyDescent="0.3">
      <c r="E52" s="151"/>
    </row>
    <row r="53" spans="5:5" thickTop="1" thickBot="1" x14ac:dyDescent="0.3">
      <c r="E53" s="151"/>
    </row>
    <row r="54" spans="5:5" thickTop="1" thickBot="1" x14ac:dyDescent="0.3">
      <c r="E54" s="151"/>
    </row>
    <row r="55" spans="5:5" thickTop="1" thickBot="1" x14ac:dyDescent="0.3">
      <c r="E55" s="151"/>
    </row>
  </sheetData>
  <mergeCells count="117">
    <mergeCell ref="AO21:AQ21"/>
    <mergeCell ref="AG17:AI17"/>
    <mergeCell ref="AO17:AQ17"/>
    <mergeCell ref="AM17:AN17"/>
    <mergeCell ref="AO18:AQ18"/>
    <mergeCell ref="AM11:AO12"/>
    <mergeCell ref="AP11:AQ12"/>
    <mergeCell ref="AR19:AT20"/>
    <mergeCell ref="AO13:AQ13"/>
    <mergeCell ref="AO14:AQ14"/>
    <mergeCell ref="AM18:AN20"/>
    <mergeCell ref="AR18:AT18"/>
    <mergeCell ref="AO20:AQ20"/>
    <mergeCell ref="AG23:AI23"/>
    <mergeCell ref="AG24:AI24"/>
    <mergeCell ref="AG20:AI20"/>
    <mergeCell ref="AG21:AI21"/>
    <mergeCell ref="AG22:AI22"/>
    <mergeCell ref="AC12:AD12"/>
    <mergeCell ref="Z12:AA12"/>
    <mergeCell ref="AF12:AG12"/>
    <mergeCell ref="Y25:Z25"/>
    <mergeCell ref="AA24:AD24"/>
    <mergeCell ref="AE22:AF22"/>
    <mergeCell ref="AE24:AF24"/>
    <mergeCell ref="Y14:Z14"/>
    <mergeCell ref="AA14:AD14"/>
    <mergeCell ref="AG14:AI14"/>
    <mergeCell ref="Y15:Z15"/>
    <mergeCell ref="Y24:Z24"/>
    <mergeCell ref="AG15:AI15"/>
    <mergeCell ref="AG16:AI16"/>
    <mergeCell ref="AG18:AI18"/>
    <mergeCell ref="AG19:AI19"/>
    <mergeCell ref="AA18:AD18"/>
    <mergeCell ref="Y19:Z19"/>
    <mergeCell ref="Y20:Z20"/>
    <mergeCell ref="Y21:Z21"/>
    <mergeCell ref="Y22:Z22"/>
    <mergeCell ref="Y23:Z23"/>
    <mergeCell ref="Y17:Z17"/>
    <mergeCell ref="Y18:Z18"/>
    <mergeCell ref="AA15:AD15"/>
    <mergeCell ref="AA16:AD16"/>
    <mergeCell ref="AA17:AD17"/>
    <mergeCell ref="Y16:Z16"/>
    <mergeCell ref="AA19:AD19"/>
    <mergeCell ref="AA20:AD20"/>
    <mergeCell ref="AA21:AD21"/>
    <mergeCell ref="AA22:AD22"/>
    <mergeCell ref="AA23:AD23"/>
    <mergeCell ref="AE23:AF23"/>
    <mergeCell ref="AE18:AF18"/>
    <mergeCell ref="AE19:AF19"/>
    <mergeCell ref="AE20:AF20"/>
    <mergeCell ref="AE21:AF21"/>
    <mergeCell ref="AE14:AF14"/>
    <mergeCell ref="AE15:AF15"/>
    <mergeCell ref="AE16:AF16"/>
    <mergeCell ref="AE17:AF17"/>
    <mergeCell ref="Y30:Z30"/>
    <mergeCell ref="Y31:Z31"/>
    <mergeCell ref="AA25:AD25"/>
    <mergeCell ref="AA26:AD26"/>
    <mergeCell ref="AA27:AD27"/>
    <mergeCell ref="AA28:AD28"/>
    <mergeCell ref="AA29:AD29"/>
    <mergeCell ref="AA30:AD30"/>
    <mergeCell ref="AA31:AD31"/>
    <mergeCell ref="Y26:Z26"/>
    <mergeCell ref="Y27:Z27"/>
    <mergeCell ref="Y28:Z28"/>
    <mergeCell ref="Y29:Z29"/>
    <mergeCell ref="AR25:AS25"/>
    <mergeCell ref="AR26:AS26"/>
    <mergeCell ref="AR27:AS27"/>
    <mergeCell ref="AR28:AS28"/>
    <mergeCell ref="AR29:AS29"/>
    <mergeCell ref="AE30:AF30"/>
    <mergeCell ref="AE31:AF31"/>
    <mergeCell ref="AG25:AI25"/>
    <mergeCell ref="AG26:AI26"/>
    <mergeCell ref="AG27:AI27"/>
    <mergeCell ref="AG28:AI28"/>
    <mergeCell ref="AG29:AI29"/>
    <mergeCell ref="AG30:AI30"/>
    <mergeCell ref="AG31:AI31"/>
    <mergeCell ref="AN25:AP25"/>
    <mergeCell ref="AE25:AF25"/>
    <mergeCell ref="AE26:AF26"/>
    <mergeCell ref="AE27:AF27"/>
    <mergeCell ref="AE28:AF28"/>
    <mergeCell ref="AE29:AF29"/>
    <mergeCell ref="AN26:AP26"/>
    <mergeCell ref="AN27:AP27"/>
    <mergeCell ref="AN28:AP28"/>
    <mergeCell ref="AN29:AP29"/>
    <mergeCell ref="AN39:AP39"/>
    <mergeCell ref="AR35:AS35"/>
    <mergeCell ref="AR36:AS36"/>
    <mergeCell ref="AR37:AS37"/>
    <mergeCell ref="AR38:AS38"/>
    <mergeCell ref="AR39:AS39"/>
    <mergeCell ref="AR30:AS30"/>
    <mergeCell ref="AR31:AS31"/>
    <mergeCell ref="AR32:AS32"/>
    <mergeCell ref="AR33:AS33"/>
    <mergeCell ref="AR34:AS34"/>
    <mergeCell ref="AN30:AP30"/>
    <mergeCell ref="AN31:AP31"/>
    <mergeCell ref="AN32:AP32"/>
    <mergeCell ref="AN33:AP33"/>
    <mergeCell ref="AN34:AP34"/>
    <mergeCell ref="AN35:AP35"/>
    <mergeCell ref="AN36:AP36"/>
    <mergeCell ref="AN37:AP37"/>
    <mergeCell ref="AN38:AP38"/>
  </mergeCells>
  <conditionalFormatting sqref="Y15:AI39">
    <cfRule type="expression" dxfId="2" priority="1">
      <formula>IF($X15&lt;&gt;"",ROW()=$L$4,FALSE)</formula>
    </cfRule>
  </conditionalFormatting>
  <dataValidations disablePrompts="1" count="2">
    <dataValidation type="list" allowBlank="1" showInputMessage="1" showErrorMessage="1" sqref="AB11" xr:uid="{88FB0688-E9AF-48DC-9B94-5D9416AC9AB0}">
      <formula1>"All,Unpaid,Partially Paid, Paid"</formula1>
    </dataValidation>
    <dataValidation type="list" allowBlank="1" showInputMessage="1" showErrorMessage="1" sqref="Z12:AA12" xr:uid="{57E936A4-7254-468F-9DDA-9036C9521570}">
      <formula1>"All,Draft,Unpaid,Partially Paid,Paid"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Scroll Bar 5">
              <controlPr defaultSize="0" autoPict="0">
                <anchor moveWithCells="1">
                  <from>
                    <xdr:col>35</xdr:col>
                    <xdr:colOff>133350</xdr:colOff>
                    <xdr:row>14</xdr:row>
                    <xdr:rowOff>28575</xdr:rowOff>
                  </from>
                  <to>
                    <xdr:col>35</xdr:col>
                    <xdr:colOff>314325</xdr:colOff>
                    <xdr:row>39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AC61"/>
  <sheetViews>
    <sheetView zoomScale="115" zoomScaleNormal="115" workbookViewId="0">
      <selection activeCell="D30" sqref="D30"/>
    </sheetView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7.7109375" style="27" customWidth="1"/>
    <col min="5" max="5" width="2.7109375" style="27" customWidth="1"/>
    <col min="6" max="6" width="2.85546875" style="27" customWidth="1"/>
    <col min="7" max="7" width="4.140625" style="27" customWidth="1"/>
    <col min="8" max="8" width="9.140625" style="27"/>
    <col min="9" max="9" width="0.85546875" style="27" customWidth="1"/>
    <col min="10" max="10" width="2.5703125" style="27" customWidth="1"/>
    <col min="11" max="11" width="8" style="27" customWidth="1"/>
    <col min="12" max="12" width="15.42578125" style="27" customWidth="1"/>
    <col min="13" max="13" width="3.42578125" style="27" customWidth="1"/>
    <col min="14" max="14" width="9.140625" style="27"/>
    <col min="15" max="15" width="2.28515625" style="27" customWidth="1"/>
    <col min="16" max="16" width="2" style="27" customWidth="1"/>
    <col min="17" max="17" width="6.85546875" style="75" customWidth="1"/>
    <col min="18" max="18" width="2.42578125" style="27" customWidth="1"/>
    <col min="19" max="19" width="2.28515625" style="27" customWidth="1"/>
    <col min="20" max="20" width="9.5703125" style="27" customWidth="1"/>
    <col min="21" max="21" width="2.140625" style="27" customWidth="1"/>
    <col min="22" max="22" width="13.7109375" style="27" customWidth="1"/>
    <col min="23" max="23" width="5.5703125" style="27" customWidth="1"/>
    <col min="24" max="24" width="2.7109375" style="27" customWidth="1"/>
    <col min="25" max="25" width="9.140625" style="27" customWidth="1"/>
    <col min="26" max="26" width="4.85546875" style="27" customWidth="1"/>
    <col min="27" max="27" width="9.140625" style="27"/>
    <col min="28" max="28" width="4.7109375" style="27" customWidth="1"/>
    <col min="29" max="16384" width="9.140625" style="27"/>
  </cols>
  <sheetData>
    <row r="1" spans="1:29" s="33" customFormat="1" ht="8.25" customHeight="1" x14ac:dyDescent="0.25">
      <c r="A1" s="32"/>
      <c r="B1" s="32"/>
      <c r="C1" s="32"/>
      <c r="Q1" s="66"/>
    </row>
    <row r="2" spans="1:29" s="33" customFormat="1" ht="28.5" customHeight="1" x14ac:dyDescent="0.55000000000000004">
      <c r="A2" s="32"/>
      <c r="B2" s="32"/>
      <c r="C2" s="32"/>
      <c r="F2" s="34"/>
      <c r="G2" s="35"/>
      <c r="H2" s="35"/>
      <c r="I2" s="35"/>
      <c r="J2" s="35"/>
      <c r="K2" s="35"/>
      <c r="L2" s="35"/>
      <c r="Q2" s="66"/>
    </row>
    <row r="3" spans="1:29" s="36" customFormat="1" ht="6.75" customHeight="1" x14ac:dyDescent="0.25">
      <c r="A3" s="32"/>
      <c r="B3" s="32"/>
      <c r="C3" s="32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67"/>
    </row>
    <row r="4" spans="1:29" ht="22.5" customHeight="1" x14ac:dyDescent="0.25">
      <c r="C4" s="37"/>
      <c r="D4" s="31"/>
      <c r="E4" s="31"/>
      <c r="F4" s="42"/>
      <c r="G4" s="43"/>
      <c r="H4" s="43"/>
      <c r="I4" s="43"/>
      <c r="J4" s="43"/>
      <c r="K4" s="43"/>
      <c r="L4" s="43"/>
      <c r="M4" s="43"/>
      <c r="N4" s="42"/>
      <c r="O4" s="40"/>
      <c r="P4" s="40"/>
      <c r="Q4" s="68"/>
      <c r="R4" s="40"/>
      <c r="S4" s="40"/>
      <c r="T4" s="40"/>
      <c r="U4" s="40"/>
      <c r="V4" s="40"/>
      <c r="W4" s="40"/>
      <c r="X4" s="40"/>
      <c r="Y4" s="31"/>
    </row>
    <row r="5" spans="1:29" ht="9.75" customHeight="1" x14ac:dyDescent="0.25">
      <c r="C5" s="37"/>
      <c r="D5" s="31"/>
      <c r="E5" s="31"/>
      <c r="F5" s="46"/>
      <c r="G5" s="47"/>
      <c r="H5" s="47"/>
      <c r="I5" s="46"/>
      <c r="J5" s="46"/>
      <c r="K5" s="46"/>
      <c r="L5" s="46"/>
      <c r="M5" s="47"/>
      <c r="N5" s="40"/>
      <c r="O5" s="44"/>
      <c r="P5" s="44"/>
      <c r="Q5" s="69"/>
      <c r="R5" s="44"/>
      <c r="S5" s="44"/>
      <c r="T5" s="44"/>
      <c r="U5" s="44"/>
      <c r="V5" s="45"/>
      <c r="W5" s="45"/>
      <c r="X5" s="45"/>
      <c r="Y5" s="31"/>
      <c r="Z5" s="39"/>
      <c r="AA5" s="39"/>
      <c r="AB5" s="39"/>
      <c r="AC5" s="39"/>
    </row>
    <row r="6" spans="1:29" x14ac:dyDescent="0.25">
      <c r="C6" s="37"/>
      <c r="D6" s="31"/>
      <c r="E6" s="31"/>
      <c r="F6" s="53"/>
      <c r="G6" s="47" t="s">
        <v>61</v>
      </c>
      <c r="H6" s="47"/>
      <c r="I6" s="47"/>
      <c r="J6" s="199" t="s">
        <v>273</v>
      </c>
      <c r="K6" s="200"/>
      <c r="L6" s="200"/>
      <c r="M6" s="47"/>
      <c r="N6" s="40"/>
      <c r="O6" s="206" t="s">
        <v>48</v>
      </c>
      <c r="P6" s="206"/>
      <c r="Q6" s="206"/>
      <c r="R6" s="206"/>
      <c r="S6" s="206"/>
      <c r="T6" s="206"/>
      <c r="U6" s="206"/>
      <c r="V6" s="206"/>
      <c r="W6" s="206"/>
      <c r="X6" s="206"/>
      <c r="Y6" s="31"/>
      <c r="Z6" s="39"/>
      <c r="AA6" s="39"/>
      <c r="AB6" s="39"/>
      <c r="AC6" s="39"/>
    </row>
    <row r="7" spans="1:29" ht="7.5" customHeight="1" x14ac:dyDescent="0.25">
      <c r="C7" s="37"/>
      <c r="D7" s="31"/>
      <c r="E7" s="31"/>
      <c r="F7" s="53"/>
      <c r="G7" s="47"/>
      <c r="H7" s="47"/>
      <c r="I7" s="47"/>
      <c r="J7" s="47"/>
      <c r="K7" s="47"/>
      <c r="L7" s="47"/>
      <c r="M7" s="47"/>
      <c r="N7" s="40"/>
      <c r="O7" s="48"/>
      <c r="P7" s="48"/>
      <c r="Q7" s="70"/>
      <c r="R7" s="48"/>
      <c r="S7" s="48"/>
      <c r="T7" s="48"/>
      <c r="U7" s="48"/>
      <c r="V7" s="48"/>
      <c r="W7" s="48"/>
      <c r="X7" s="48"/>
      <c r="Y7" s="31"/>
      <c r="Z7" s="39"/>
      <c r="AA7" s="39"/>
      <c r="AB7" s="39"/>
      <c r="AC7" s="39"/>
    </row>
    <row r="8" spans="1:29" x14ac:dyDescent="0.25">
      <c r="C8" s="37"/>
      <c r="D8" s="31"/>
      <c r="E8" s="31"/>
      <c r="F8" s="53"/>
      <c r="G8" s="47"/>
      <c r="H8" s="47"/>
      <c r="I8" s="47"/>
      <c r="J8" s="47"/>
      <c r="K8" s="47"/>
      <c r="L8" s="47"/>
      <c r="M8" s="47"/>
      <c r="N8" s="40"/>
      <c r="O8" s="49"/>
      <c r="P8" s="204" t="s">
        <v>53</v>
      </c>
      <c r="Q8" s="204"/>
      <c r="R8" s="204"/>
      <c r="S8" s="204"/>
      <c r="T8" s="204"/>
      <c r="U8" s="50"/>
      <c r="V8" s="207">
        <v>8</v>
      </c>
      <c r="W8" s="207"/>
      <c r="X8" s="49"/>
      <c r="Y8" s="31"/>
      <c r="Z8" s="39"/>
      <c r="AA8" s="39"/>
      <c r="AB8" s="39"/>
      <c r="AC8" s="39"/>
    </row>
    <row r="9" spans="1:29" x14ac:dyDescent="0.25">
      <c r="C9" s="37"/>
      <c r="D9" s="31"/>
      <c r="E9" s="31"/>
      <c r="F9" s="53"/>
      <c r="G9" s="47"/>
      <c r="H9" s="47"/>
      <c r="I9" s="47"/>
      <c r="J9" s="47"/>
      <c r="K9" s="47"/>
      <c r="L9" s="47"/>
      <c r="M9" s="47"/>
      <c r="N9" s="40"/>
      <c r="O9" s="49"/>
      <c r="P9" s="204" t="s">
        <v>54</v>
      </c>
      <c r="Q9" s="204"/>
      <c r="R9" s="204"/>
      <c r="S9" s="204"/>
      <c r="T9" s="204"/>
      <c r="U9" s="50"/>
      <c r="V9" s="208">
        <v>123</v>
      </c>
      <c r="W9" s="209"/>
      <c r="X9" s="49"/>
      <c r="Y9" s="31"/>
      <c r="Z9" s="39"/>
      <c r="AA9" s="39"/>
      <c r="AB9" s="39"/>
      <c r="AC9" s="39"/>
    </row>
    <row r="10" spans="1:29" x14ac:dyDescent="0.25">
      <c r="C10" s="37"/>
      <c r="D10" s="31"/>
      <c r="E10" s="31"/>
      <c r="F10" s="53"/>
      <c r="G10" s="47"/>
      <c r="H10" s="47"/>
      <c r="I10" s="47"/>
      <c r="J10" s="47"/>
      <c r="K10" s="47"/>
      <c r="L10" s="47"/>
      <c r="M10" s="47"/>
      <c r="N10" s="40"/>
      <c r="O10" s="49"/>
      <c r="P10" s="204" t="s">
        <v>55</v>
      </c>
      <c r="Q10" s="204"/>
      <c r="R10" s="204"/>
      <c r="S10" s="204"/>
      <c r="T10" s="204"/>
      <c r="U10" s="50"/>
      <c r="V10" s="210">
        <v>46259</v>
      </c>
      <c r="W10" s="209"/>
      <c r="X10" s="49"/>
      <c r="Y10" s="31"/>
      <c r="Z10" s="39"/>
      <c r="AA10" s="39"/>
      <c r="AB10" s="39"/>
      <c r="AC10" s="39"/>
    </row>
    <row r="11" spans="1:29" x14ac:dyDescent="0.25">
      <c r="C11" s="37"/>
      <c r="D11" s="31"/>
      <c r="E11" s="31"/>
      <c r="N11" s="40"/>
      <c r="O11" s="49"/>
      <c r="P11" s="204" t="s">
        <v>56</v>
      </c>
      <c r="Q11" s="204"/>
      <c r="R11" s="204"/>
      <c r="S11" s="204"/>
      <c r="T11" s="204"/>
      <c r="U11" s="50"/>
      <c r="V11" s="208">
        <v>60</v>
      </c>
      <c r="W11" s="209"/>
      <c r="X11" s="49"/>
      <c r="Y11" s="31"/>
      <c r="Z11" s="39"/>
      <c r="AA11" s="39"/>
      <c r="AB11" s="39"/>
      <c r="AC11" s="39"/>
    </row>
    <row r="12" spans="1:29" x14ac:dyDescent="0.25">
      <c r="C12" s="37"/>
      <c r="D12" s="31"/>
      <c r="E12" s="31"/>
      <c r="N12" s="41"/>
      <c r="O12" s="51"/>
      <c r="P12" s="51"/>
      <c r="Q12" s="64"/>
      <c r="R12" s="51"/>
      <c r="S12" s="51"/>
      <c r="T12" s="51"/>
      <c r="U12" s="51"/>
      <c r="V12" s="51"/>
      <c r="W12" s="51"/>
      <c r="X12" s="51"/>
      <c r="Z12" s="39"/>
      <c r="AA12" s="39"/>
      <c r="AB12" s="39"/>
      <c r="AC12" s="39"/>
    </row>
    <row r="13" spans="1:29" ht="7.5" customHeight="1" x14ac:dyDescent="0.25">
      <c r="C13" s="37"/>
      <c r="D13" s="31"/>
      <c r="E13" s="31"/>
      <c r="F13" s="54"/>
      <c r="G13" s="41"/>
      <c r="H13" s="41"/>
      <c r="I13" s="41"/>
      <c r="J13" s="41"/>
      <c r="K13" s="41"/>
      <c r="L13" s="41"/>
      <c r="M13" s="41"/>
      <c r="N13" s="41"/>
      <c r="O13" s="40"/>
      <c r="P13" s="40"/>
      <c r="Q13" s="68"/>
      <c r="R13" s="40"/>
      <c r="S13" s="40"/>
      <c r="T13" s="40"/>
      <c r="U13" s="40"/>
      <c r="V13" s="40"/>
      <c r="W13" s="40"/>
      <c r="X13" s="40"/>
      <c r="Z13" s="39"/>
      <c r="AA13" s="39"/>
      <c r="AB13" s="39"/>
      <c r="AC13" s="39"/>
    </row>
    <row r="14" spans="1:29" ht="8.25" customHeight="1" x14ac:dyDescent="0.25">
      <c r="C14" s="37"/>
      <c r="D14" s="31"/>
      <c r="E14" s="31"/>
      <c r="F14" s="54"/>
      <c r="G14" s="41"/>
      <c r="H14" s="41"/>
      <c r="I14" s="41"/>
      <c r="J14" s="41"/>
      <c r="K14" s="41"/>
      <c r="L14" s="41"/>
      <c r="M14" s="41"/>
      <c r="N14" s="41"/>
      <c r="O14" s="40"/>
      <c r="P14" s="40"/>
      <c r="Q14" s="68"/>
      <c r="R14" s="40"/>
      <c r="S14" s="40"/>
      <c r="T14" s="40"/>
      <c r="U14" s="40"/>
      <c r="V14" s="40"/>
      <c r="W14" s="40"/>
      <c r="X14" s="40"/>
      <c r="Z14" s="39"/>
      <c r="AA14" s="39"/>
      <c r="AB14" s="39"/>
      <c r="AC14" s="39"/>
    </row>
    <row r="15" spans="1:29" ht="6.75" customHeight="1" x14ac:dyDescent="0.25">
      <c r="C15" s="37"/>
      <c r="D15" s="31"/>
      <c r="E15" s="31"/>
      <c r="F15" s="53"/>
      <c r="G15" s="47"/>
      <c r="H15" s="47"/>
      <c r="I15" s="47"/>
      <c r="J15" s="47"/>
      <c r="K15" s="47"/>
      <c r="L15" s="47"/>
      <c r="M15" s="47"/>
      <c r="N15" s="41"/>
      <c r="O15" s="45"/>
      <c r="P15" s="45"/>
      <c r="Q15" s="71"/>
      <c r="R15" s="45"/>
      <c r="S15" s="45"/>
      <c r="T15" s="45"/>
      <c r="U15" s="45"/>
      <c r="V15" s="45"/>
      <c r="W15" s="45"/>
      <c r="X15" s="45"/>
      <c r="Z15" s="39"/>
      <c r="AA15" s="39"/>
      <c r="AB15" s="39"/>
      <c r="AC15" s="39"/>
    </row>
    <row r="16" spans="1:29" x14ac:dyDescent="0.25">
      <c r="C16" s="37"/>
      <c r="D16" s="31"/>
      <c r="E16" s="31"/>
      <c r="F16" s="53"/>
      <c r="G16" s="47" t="s">
        <v>51</v>
      </c>
      <c r="H16" s="47"/>
      <c r="I16" s="47"/>
      <c r="J16" s="39"/>
      <c r="K16" s="201" t="s">
        <v>120</v>
      </c>
      <c r="L16" s="202"/>
      <c r="M16" s="47"/>
      <c r="N16" s="41"/>
      <c r="O16" s="205" t="s">
        <v>2</v>
      </c>
      <c r="P16" s="205"/>
      <c r="Q16" s="205"/>
      <c r="R16" s="205"/>
      <c r="S16" s="205"/>
      <c r="T16" s="205"/>
      <c r="U16" s="205"/>
      <c r="V16" s="205"/>
      <c r="W16" s="205"/>
      <c r="X16" s="205"/>
      <c r="Z16" s="39"/>
      <c r="AA16" s="39"/>
      <c r="AB16" s="39"/>
      <c r="AC16" s="39"/>
    </row>
    <row r="17" spans="3:25" ht="8.25" customHeight="1" x14ac:dyDescent="0.25">
      <c r="C17" s="37"/>
      <c r="D17" s="31"/>
      <c r="E17" s="31"/>
      <c r="F17" s="53"/>
      <c r="G17" s="47"/>
      <c r="H17" s="47"/>
      <c r="I17" s="47"/>
      <c r="J17" s="47"/>
      <c r="K17" s="47"/>
      <c r="L17" s="47"/>
      <c r="M17" s="47"/>
      <c r="N17" s="41"/>
      <c r="O17" s="48"/>
      <c r="P17" s="48"/>
      <c r="Q17" s="70"/>
      <c r="R17" s="48"/>
      <c r="S17" s="48"/>
      <c r="T17" s="48"/>
      <c r="U17" s="48"/>
      <c r="V17" s="48"/>
      <c r="W17" s="48"/>
      <c r="X17" s="48"/>
    </row>
    <row r="18" spans="3:25" x14ac:dyDescent="0.25">
      <c r="C18" s="37"/>
      <c r="D18" s="31"/>
      <c r="E18" s="31"/>
      <c r="F18" s="54"/>
      <c r="G18" s="41"/>
      <c r="H18" s="41"/>
      <c r="I18" s="41"/>
      <c r="J18" s="41"/>
      <c r="K18" s="41"/>
      <c r="L18" s="41"/>
      <c r="M18" s="41"/>
      <c r="N18" s="40"/>
      <c r="O18" s="49"/>
      <c r="P18" s="49"/>
      <c r="Q18" s="204" t="s">
        <v>57</v>
      </c>
      <c r="R18" s="204"/>
      <c r="S18" s="50"/>
      <c r="T18" s="203" t="str">
        <f>IFERROR(VLOOKUP($K$16,'Customer Database'!A:H,1,FALSE),"")</f>
        <v>PT Sinar Karya Abadi</v>
      </c>
      <c r="U18" s="203"/>
      <c r="V18" s="203"/>
      <c r="W18" s="203"/>
      <c r="X18" s="49"/>
      <c r="Y18" s="31"/>
    </row>
    <row r="19" spans="3:25" x14ac:dyDescent="0.25">
      <c r="C19" s="37"/>
      <c r="D19" s="31"/>
      <c r="E19" s="31"/>
      <c r="F19" s="40"/>
      <c r="G19" s="40"/>
      <c r="H19" s="40"/>
      <c r="I19" s="40"/>
      <c r="J19" s="40"/>
      <c r="K19" s="40"/>
      <c r="L19" s="40"/>
      <c r="M19" s="40"/>
      <c r="N19" s="40"/>
      <c r="O19" s="51"/>
      <c r="P19" s="51"/>
      <c r="Q19" s="177" t="s">
        <v>58</v>
      </c>
      <c r="R19" s="177"/>
      <c r="S19" s="76"/>
      <c r="T19" s="196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>Graha Sinar Lt. 3, Jl. Tomang Raya No. 25, RT 004/RW 007, Kel. Tomang, Kec. Grogol Petamburan, Jakarta Barat, DKI Jakarta, 11440, Indonesia</v>
      </c>
      <c r="U19" s="196"/>
      <c r="V19" s="196"/>
      <c r="W19" s="196"/>
      <c r="X19" s="51"/>
      <c r="Y19" s="31"/>
    </row>
    <row r="20" spans="3:25" ht="9.75" customHeight="1" x14ac:dyDescent="0.25">
      <c r="C20" s="37"/>
      <c r="D20" s="31"/>
      <c r="E20" s="31"/>
      <c r="F20" s="40"/>
      <c r="G20" s="40"/>
      <c r="H20" s="40"/>
      <c r="I20" s="40"/>
      <c r="J20" s="40"/>
      <c r="K20" s="40"/>
      <c r="L20" s="40"/>
      <c r="M20" s="40"/>
      <c r="N20" s="40"/>
      <c r="O20" s="45"/>
      <c r="P20" s="45"/>
      <c r="Q20" s="178"/>
      <c r="R20" s="178"/>
      <c r="S20" s="77"/>
      <c r="T20" s="197"/>
      <c r="U20" s="197"/>
      <c r="V20" s="197"/>
      <c r="W20" s="197"/>
      <c r="X20" s="45"/>
      <c r="Y20" s="31"/>
    </row>
    <row r="21" spans="3:25" ht="15.75" customHeight="1" x14ac:dyDescent="0.25">
      <c r="C21" s="37"/>
      <c r="D21" s="31"/>
      <c r="E21" s="31"/>
      <c r="F21" s="40"/>
      <c r="G21" s="40"/>
      <c r="H21" s="229"/>
      <c r="I21" s="40"/>
      <c r="J21" s="40"/>
      <c r="K21" s="40"/>
      <c r="L21" s="40"/>
      <c r="M21" s="40"/>
      <c r="N21" s="40"/>
      <c r="O21" s="45"/>
      <c r="P21" s="45"/>
      <c r="Q21" s="178"/>
      <c r="R21" s="178"/>
      <c r="S21" s="77"/>
      <c r="T21" s="197"/>
      <c r="U21" s="197"/>
      <c r="V21" s="197"/>
      <c r="W21" s="197"/>
      <c r="X21" s="45"/>
      <c r="Y21" s="31"/>
    </row>
    <row r="22" spans="3:25" ht="15.75" customHeight="1" x14ac:dyDescent="0.25">
      <c r="C22" s="37"/>
      <c r="D22" s="31"/>
      <c r="E22" s="31"/>
      <c r="F22" s="40"/>
      <c r="G22" s="230"/>
      <c r="H22" s="230"/>
      <c r="I22" s="230"/>
      <c r="J22" s="230"/>
      <c r="K22" s="230"/>
      <c r="L22" s="230"/>
      <c r="M22" s="40"/>
      <c r="N22" s="40"/>
      <c r="O22" s="45"/>
      <c r="P22" s="45"/>
      <c r="Q22" s="178"/>
      <c r="R22" s="178"/>
      <c r="S22" s="77"/>
      <c r="T22" s="197"/>
      <c r="U22" s="197"/>
      <c r="V22" s="197"/>
      <c r="W22" s="197"/>
      <c r="X22" s="45"/>
      <c r="Y22" s="31"/>
    </row>
    <row r="23" spans="3:25" ht="2.25" customHeight="1" x14ac:dyDescent="0.25">
      <c r="C23" s="37"/>
      <c r="D23" s="31"/>
      <c r="E23" s="31"/>
      <c r="F23" s="40"/>
      <c r="G23" s="230"/>
      <c r="H23" s="230"/>
      <c r="I23" s="230"/>
      <c r="J23" s="230"/>
      <c r="K23" s="230"/>
      <c r="L23" s="230"/>
      <c r="M23" s="40"/>
      <c r="N23" s="40"/>
      <c r="O23" s="45"/>
      <c r="P23" s="45"/>
      <c r="Q23" s="178"/>
      <c r="R23" s="178"/>
      <c r="S23" s="77"/>
      <c r="T23" s="197"/>
      <c r="U23" s="197"/>
      <c r="V23" s="197"/>
      <c r="W23" s="197"/>
      <c r="X23" s="45"/>
      <c r="Y23" s="31"/>
    </row>
    <row r="24" spans="3:25" ht="3.75" customHeight="1" x14ac:dyDescent="0.25">
      <c r="C24" s="37"/>
      <c r="D24" s="31"/>
      <c r="E24" s="31"/>
      <c r="F24" s="40"/>
      <c r="G24" s="230"/>
      <c r="H24" s="230"/>
      <c r="I24" s="230"/>
      <c r="J24" s="230"/>
      <c r="K24" s="230"/>
      <c r="L24" s="230"/>
      <c r="M24" s="40"/>
      <c r="N24" s="40"/>
      <c r="O24" s="48"/>
      <c r="P24" s="48"/>
      <c r="Q24" s="179"/>
      <c r="R24" s="179"/>
      <c r="S24" s="78"/>
      <c r="T24" s="198"/>
      <c r="U24" s="198"/>
      <c r="V24" s="198"/>
      <c r="W24" s="198"/>
      <c r="X24" s="48"/>
      <c r="Y24" s="31"/>
    </row>
    <row r="25" spans="3:25" x14ac:dyDescent="0.25">
      <c r="C25" s="37"/>
      <c r="D25" s="31"/>
      <c r="E25" s="31"/>
      <c r="F25" s="40"/>
      <c r="G25" s="230"/>
      <c r="H25" s="230"/>
      <c r="I25" s="230"/>
      <c r="J25" s="230"/>
      <c r="K25" s="230"/>
      <c r="L25" s="230"/>
      <c r="M25" s="40"/>
      <c r="N25" s="40"/>
      <c r="O25" s="49"/>
      <c r="P25" s="49"/>
      <c r="Q25" s="204" t="s">
        <v>59</v>
      </c>
      <c r="R25" s="204"/>
      <c r="S25" s="50"/>
      <c r="T25" s="191">
        <f>IFERROR(VLOOKUP($K$16,'Customer Database'!A:H,7,FALSE),"")</f>
        <v>81234567003</v>
      </c>
      <c r="U25" s="191"/>
      <c r="V25" s="191"/>
      <c r="W25" s="191"/>
      <c r="X25" s="49"/>
      <c r="Y25" s="31"/>
    </row>
    <row r="26" spans="3:25" x14ac:dyDescent="0.25">
      <c r="C26" s="37"/>
      <c r="D26" s="31"/>
      <c r="E26" s="31"/>
      <c r="F26" s="40"/>
      <c r="G26" s="230"/>
      <c r="H26" s="230"/>
      <c r="I26" s="230"/>
      <c r="J26" s="230"/>
      <c r="K26" s="230"/>
      <c r="L26" s="230"/>
      <c r="M26" s="40"/>
      <c r="N26" s="40"/>
      <c r="O26" s="49"/>
      <c r="P26" s="49"/>
      <c r="Q26" s="204" t="s">
        <v>60</v>
      </c>
      <c r="R26" s="204"/>
      <c r="S26" s="50"/>
      <c r="T26" s="191" t="str">
        <f>IFERROR(VLOOKUP($K$16,'Customer Database'!A:H,8,FALSE),"")</f>
        <v>accounting@sinarkarya.co.id</v>
      </c>
      <c r="U26" s="191"/>
      <c r="V26" s="191"/>
      <c r="W26" s="191"/>
      <c r="X26" s="49"/>
      <c r="Y26" s="31"/>
    </row>
    <row r="27" spans="3:25" x14ac:dyDescent="0.25">
      <c r="C27" s="37"/>
      <c r="D27" s="31"/>
      <c r="E27" s="31"/>
      <c r="F27" s="40"/>
      <c r="G27" s="40"/>
      <c r="H27" s="40"/>
      <c r="I27" s="40"/>
      <c r="J27" s="40"/>
      <c r="K27" s="40"/>
      <c r="L27" s="40"/>
      <c r="M27" s="40"/>
      <c r="N27" s="41"/>
      <c r="O27" s="51"/>
      <c r="P27" s="51"/>
      <c r="Q27" s="64"/>
      <c r="R27" s="51"/>
      <c r="S27" s="51"/>
      <c r="T27" s="51"/>
      <c r="U27" s="51"/>
      <c r="V27" s="51"/>
      <c r="W27" s="51"/>
      <c r="X27" s="51"/>
    </row>
    <row r="28" spans="3:25" x14ac:dyDescent="0.25">
      <c r="C28" s="37"/>
      <c r="D28" s="31"/>
      <c r="E28" s="31"/>
      <c r="F28" s="40"/>
      <c r="G28" s="41"/>
      <c r="H28" s="41"/>
      <c r="I28" s="41"/>
      <c r="J28" s="41"/>
      <c r="K28" s="41"/>
      <c r="L28" s="41"/>
      <c r="M28" s="41"/>
      <c r="N28" s="40"/>
      <c r="O28" s="40"/>
      <c r="P28" s="40"/>
      <c r="Q28" s="68"/>
      <c r="R28" s="40"/>
      <c r="S28" s="40"/>
      <c r="T28" s="40"/>
      <c r="U28" s="40"/>
      <c r="V28" s="40"/>
      <c r="W28" s="40"/>
      <c r="X28" s="40"/>
    </row>
    <row r="29" spans="3:25" x14ac:dyDescent="0.25">
      <c r="C29" s="37"/>
      <c r="D29" s="31"/>
      <c r="E29" s="31"/>
      <c r="F29" s="40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72"/>
      <c r="R29" s="41"/>
      <c r="S29" s="41"/>
      <c r="T29" s="41"/>
      <c r="U29" s="41"/>
      <c r="V29" s="41"/>
      <c r="W29" s="41"/>
      <c r="X29" s="41"/>
    </row>
    <row r="30" spans="3:25" x14ac:dyDescent="0.25">
      <c r="C30" s="37"/>
      <c r="D30" s="31"/>
      <c r="E30" s="31"/>
      <c r="F30" s="52"/>
      <c r="G30" s="45" t="s">
        <v>49</v>
      </c>
      <c r="H30" s="52"/>
      <c r="I30" s="52"/>
      <c r="J30" s="52"/>
      <c r="K30" s="52"/>
      <c r="L30" s="52"/>
      <c r="M30" s="52"/>
      <c r="N30" s="52"/>
      <c r="O30" s="52"/>
      <c r="P30" s="52"/>
      <c r="Q30" s="73"/>
      <c r="R30" s="52"/>
      <c r="S30" s="52"/>
      <c r="T30" s="52"/>
      <c r="U30" s="52"/>
      <c r="V30" s="52"/>
      <c r="W30" s="52"/>
      <c r="X30" s="52"/>
    </row>
    <row r="31" spans="3:25" ht="3.75" customHeight="1" x14ac:dyDescent="0.25">
      <c r="C31" s="37"/>
      <c r="D31" s="31"/>
      <c r="E31" s="31"/>
      <c r="F31" s="52"/>
      <c r="G31" s="45"/>
      <c r="H31" s="52"/>
      <c r="I31" s="52"/>
      <c r="J31" s="52"/>
      <c r="K31" s="52"/>
      <c r="L31" s="52"/>
      <c r="M31" s="52"/>
      <c r="N31" s="52"/>
      <c r="O31" s="52"/>
      <c r="P31" s="52"/>
      <c r="Q31" s="73"/>
      <c r="R31" s="52"/>
      <c r="S31" s="52"/>
      <c r="T31" s="52"/>
      <c r="U31" s="52"/>
      <c r="V31" s="52"/>
      <c r="W31" s="52"/>
      <c r="X31" s="52"/>
    </row>
    <row r="32" spans="3:25" x14ac:dyDescent="0.25">
      <c r="C32" s="37"/>
      <c r="D32" s="31"/>
      <c r="E32" s="31"/>
      <c r="F32" s="49"/>
      <c r="G32" s="56" t="s">
        <v>50</v>
      </c>
      <c r="H32" s="183" t="s">
        <v>64</v>
      </c>
      <c r="I32" s="183"/>
      <c r="J32" s="183"/>
      <c r="K32" s="181" t="s">
        <v>4</v>
      </c>
      <c r="L32" s="181"/>
      <c r="M32" s="181"/>
      <c r="N32" s="181" t="s">
        <v>67</v>
      </c>
      <c r="O32" s="181"/>
      <c r="P32" s="181" t="s">
        <v>5</v>
      </c>
      <c r="Q32" s="181"/>
      <c r="R32" s="181" t="s">
        <v>105</v>
      </c>
      <c r="S32" s="181"/>
      <c r="T32" s="181"/>
      <c r="U32" s="181" t="s">
        <v>6</v>
      </c>
      <c r="V32" s="181"/>
      <c r="W32" s="181"/>
      <c r="X32" s="49"/>
    </row>
    <row r="33" spans="3:24" x14ac:dyDescent="0.25">
      <c r="C33" s="37"/>
      <c r="D33" s="31"/>
      <c r="E33" s="31"/>
      <c r="F33" s="49"/>
      <c r="G33" s="56">
        <v>1</v>
      </c>
      <c r="H33" s="192" t="s">
        <v>77</v>
      </c>
      <c r="I33" s="193"/>
      <c r="J33" s="194"/>
      <c r="K33" s="191" t="str">
        <f>IFERROR(VLOOKUP($H33,'Product Database'!A:G, 2,FALSE),"")</f>
        <v>Glass Food Container Set</v>
      </c>
      <c r="L33" s="191"/>
      <c r="M33" s="191"/>
      <c r="N33" s="181" t="str">
        <f>IFERROR(VLOOKUP($H33,'Product Database'!A:G, 4,FALSE),"")</f>
        <v>Set</v>
      </c>
      <c r="O33" s="181"/>
      <c r="P33" s="184">
        <v>1</v>
      </c>
      <c r="Q33" s="185"/>
      <c r="R33" s="186">
        <f>IFERROR(VLOOKUP($H33, 'Product Database'!A:G, 6, FALSE), "")</f>
        <v>189000</v>
      </c>
      <c r="S33" s="180"/>
      <c r="T33" s="180"/>
      <c r="U33" s="180">
        <f>IFERROR(P33*R33, "")</f>
        <v>189000</v>
      </c>
      <c r="V33" s="181"/>
      <c r="W33" s="181"/>
      <c r="X33" s="55"/>
    </row>
    <row r="34" spans="3:24" x14ac:dyDescent="0.25">
      <c r="C34" s="37"/>
      <c r="D34" s="31"/>
      <c r="E34" s="31"/>
      <c r="F34" s="49"/>
      <c r="G34" s="56">
        <f>IF(H34&lt;&gt;"",G33+1,"")</f>
        <v>2</v>
      </c>
      <c r="H34" s="192" t="s">
        <v>81</v>
      </c>
      <c r="I34" s="193"/>
      <c r="J34" s="194"/>
      <c r="K34" s="191" t="str">
        <f>IFERROR(VLOOKUP($H34,'Product Database'!A:G, 2,FALSE),"")</f>
        <v>Wooden Cutting Board</v>
      </c>
      <c r="L34" s="191"/>
      <c r="M34" s="191"/>
      <c r="N34" s="181" t="str">
        <f>IFERROR(VLOOKUP($H34,'Product Database'!A:G, 4,FALSE),"")</f>
        <v>Pcs</v>
      </c>
      <c r="O34" s="181"/>
      <c r="P34" s="184">
        <v>5</v>
      </c>
      <c r="Q34" s="185"/>
      <c r="R34" s="186">
        <f>IFERROR(VLOOKUP($H34, 'Product Database'!A:G, 6, FALSE), "")</f>
        <v>129000</v>
      </c>
      <c r="S34" s="180"/>
      <c r="T34" s="180"/>
      <c r="U34" s="180">
        <f t="shared" ref="U34:U47" si="0">IFERROR(P34*R34, "")</f>
        <v>645000</v>
      </c>
      <c r="V34" s="181"/>
      <c r="W34" s="181"/>
      <c r="X34" s="55"/>
    </row>
    <row r="35" spans="3:24" x14ac:dyDescent="0.25">
      <c r="C35" s="37"/>
      <c r="D35" s="31"/>
      <c r="E35" s="31"/>
      <c r="F35" s="49"/>
      <c r="G35" s="87" t="str">
        <f t="shared" ref="G35:G47" si="1">IF(H35&lt;&gt;"",G34+1,"")</f>
        <v/>
      </c>
      <c r="H35" s="192"/>
      <c r="I35" s="193"/>
      <c r="J35" s="194"/>
      <c r="K35" s="191" t="str">
        <f>IFERROR(VLOOKUP($H35,'Product Database'!A:G, 2,FALSE),"")</f>
        <v/>
      </c>
      <c r="L35" s="191"/>
      <c r="M35" s="191"/>
      <c r="N35" s="181" t="str">
        <f>IFERROR(VLOOKUP($H35,'Product Database'!A:G, 4,FALSE),"")</f>
        <v/>
      </c>
      <c r="O35" s="181"/>
      <c r="P35" s="184"/>
      <c r="Q35" s="185"/>
      <c r="R35" s="186" t="str">
        <f>IFERROR(VLOOKUP($H35, 'Product Database'!A:G, 6, FALSE), "")</f>
        <v/>
      </c>
      <c r="S35" s="180"/>
      <c r="T35" s="180"/>
      <c r="U35" s="180" t="str">
        <f t="shared" si="0"/>
        <v/>
      </c>
      <c r="V35" s="181"/>
      <c r="W35" s="181"/>
      <c r="X35" s="55"/>
    </row>
    <row r="36" spans="3:24" x14ac:dyDescent="0.25">
      <c r="C36" s="37"/>
      <c r="D36" s="31"/>
      <c r="E36" s="31"/>
      <c r="F36" s="49"/>
      <c r="G36" s="87" t="str">
        <f t="shared" si="1"/>
        <v/>
      </c>
      <c r="H36" s="192"/>
      <c r="I36" s="193"/>
      <c r="J36" s="194"/>
      <c r="K36" s="191" t="str">
        <f>IFERROR(VLOOKUP($H36,'Product Database'!A:G, 2,FALSE),"")</f>
        <v/>
      </c>
      <c r="L36" s="191"/>
      <c r="M36" s="191"/>
      <c r="N36" s="181" t="str">
        <f>IFERROR(VLOOKUP($H36,'Product Database'!A:G, 4,FALSE),"")</f>
        <v/>
      </c>
      <c r="O36" s="181"/>
      <c r="P36" s="184"/>
      <c r="Q36" s="185"/>
      <c r="R36" s="186" t="str">
        <f>IFERROR(VLOOKUP($H36, 'Product Database'!A:G, 6, FALSE), "")</f>
        <v/>
      </c>
      <c r="S36" s="180"/>
      <c r="T36" s="180"/>
      <c r="U36" s="180" t="str">
        <f t="shared" si="0"/>
        <v/>
      </c>
      <c r="V36" s="181"/>
      <c r="W36" s="181"/>
      <c r="X36" s="55"/>
    </row>
    <row r="37" spans="3:24" x14ac:dyDescent="0.25">
      <c r="C37" s="37"/>
      <c r="D37" s="31"/>
      <c r="E37" s="31"/>
      <c r="F37" s="49"/>
      <c r="G37" s="87" t="str">
        <f t="shared" si="1"/>
        <v/>
      </c>
      <c r="H37" s="192"/>
      <c r="I37" s="193"/>
      <c r="J37" s="194"/>
      <c r="K37" s="191" t="str">
        <f>IFERROR(VLOOKUP($H37,'Product Database'!A:G, 2,FALSE),"")</f>
        <v/>
      </c>
      <c r="L37" s="191"/>
      <c r="M37" s="191"/>
      <c r="N37" s="181" t="str">
        <f>IFERROR(VLOOKUP($H37,'Product Database'!A:G, 4,FALSE),"")</f>
        <v/>
      </c>
      <c r="O37" s="181"/>
      <c r="P37" s="184"/>
      <c r="Q37" s="185"/>
      <c r="R37" s="180" t="str">
        <f>IFERROR(VLOOKUP($H37, 'Product Database'!A:G, 6, FALSE), "")</f>
        <v/>
      </c>
      <c r="S37" s="180"/>
      <c r="T37" s="180"/>
      <c r="U37" s="180" t="str">
        <f t="shared" si="0"/>
        <v/>
      </c>
      <c r="V37" s="181"/>
      <c r="W37" s="181"/>
      <c r="X37" s="55"/>
    </row>
    <row r="38" spans="3:24" x14ac:dyDescent="0.25">
      <c r="C38" s="37"/>
      <c r="D38" s="31"/>
      <c r="E38" s="31"/>
      <c r="F38" s="49"/>
      <c r="G38" s="87" t="str">
        <f t="shared" si="1"/>
        <v/>
      </c>
      <c r="H38" s="192"/>
      <c r="I38" s="193"/>
      <c r="J38" s="194"/>
      <c r="K38" s="191" t="str">
        <f>IFERROR(VLOOKUP($H38,'Product Database'!A:G, 2,FALSE),"")</f>
        <v/>
      </c>
      <c r="L38" s="191"/>
      <c r="M38" s="191"/>
      <c r="N38" s="181" t="str">
        <f>IFERROR(VLOOKUP($H38,'Product Database'!A:G, 4,FALSE),"")</f>
        <v/>
      </c>
      <c r="O38" s="181"/>
      <c r="P38" s="184"/>
      <c r="Q38" s="185"/>
      <c r="R38" s="180" t="str">
        <f>IFERROR(VLOOKUP($H38, 'Product Database'!A:G, 6, FALSE), "")</f>
        <v/>
      </c>
      <c r="S38" s="180"/>
      <c r="T38" s="180"/>
      <c r="U38" s="180" t="str">
        <f t="shared" si="0"/>
        <v/>
      </c>
      <c r="V38" s="181"/>
      <c r="W38" s="181"/>
      <c r="X38" s="55"/>
    </row>
    <row r="39" spans="3:24" x14ac:dyDescent="0.25">
      <c r="C39" s="37"/>
      <c r="D39" s="31"/>
      <c r="E39" s="31"/>
      <c r="F39" s="49"/>
      <c r="G39" s="92" t="str">
        <f t="shared" si="1"/>
        <v/>
      </c>
      <c r="H39" s="192"/>
      <c r="I39" s="193"/>
      <c r="J39" s="194"/>
      <c r="K39" s="191" t="str">
        <f>IFERROR(VLOOKUP($H39,'Product Database'!A:G, 2,FALSE),"")</f>
        <v/>
      </c>
      <c r="L39" s="191"/>
      <c r="M39" s="191"/>
      <c r="N39" s="181" t="str">
        <f>IFERROR(VLOOKUP($H39,'Product Database'!A:G, 4,FALSE),"")</f>
        <v/>
      </c>
      <c r="O39" s="181"/>
      <c r="P39" s="184"/>
      <c r="Q39" s="185"/>
      <c r="R39" s="180" t="str">
        <f>IFERROR(VLOOKUP($H39, 'Product Database'!A:G, 6, FALSE), "")</f>
        <v/>
      </c>
      <c r="S39" s="180"/>
      <c r="T39" s="180"/>
      <c r="U39" s="180" t="str">
        <f t="shared" si="0"/>
        <v/>
      </c>
      <c r="V39" s="181"/>
      <c r="W39" s="181"/>
      <c r="X39" s="55"/>
    </row>
    <row r="40" spans="3:24" x14ac:dyDescent="0.25">
      <c r="C40" s="37"/>
      <c r="D40" s="31"/>
      <c r="E40" s="31"/>
      <c r="F40" s="49"/>
      <c r="G40" s="92" t="str">
        <f t="shared" si="1"/>
        <v/>
      </c>
      <c r="H40" s="192"/>
      <c r="I40" s="193"/>
      <c r="J40" s="194"/>
      <c r="K40" s="191" t="str">
        <f>IFERROR(VLOOKUP($H40,'Product Database'!A:G, 2,FALSE),"")</f>
        <v/>
      </c>
      <c r="L40" s="191"/>
      <c r="M40" s="191"/>
      <c r="N40" s="181" t="str">
        <f>IFERROR(VLOOKUP($H40,'Product Database'!A:G, 4,FALSE),"")</f>
        <v/>
      </c>
      <c r="O40" s="181"/>
      <c r="P40" s="184"/>
      <c r="Q40" s="185"/>
      <c r="R40" s="180" t="str">
        <f>IFERROR(VLOOKUP($H40, 'Product Database'!A:G, 6, FALSE), "")</f>
        <v/>
      </c>
      <c r="S40" s="180"/>
      <c r="T40" s="180"/>
      <c r="U40" s="180" t="str">
        <f t="shared" si="0"/>
        <v/>
      </c>
      <c r="V40" s="181"/>
      <c r="W40" s="181"/>
      <c r="X40" s="55"/>
    </row>
    <row r="41" spans="3:24" x14ac:dyDescent="0.25">
      <c r="C41" s="37"/>
      <c r="D41" s="31"/>
      <c r="E41" s="31"/>
      <c r="F41" s="49"/>
      <c r="G41" s="92" t="str">
        <f t="shared" si="1"/>
        <v/>
      </c>
      <c r="H41" s="192"/>
      <c r="I41" s="193"/>
      <c r="J41" s="194"/>
      <c r="K41" s="191" t="str">
        <f>IFERROR(VLOOKUP($H41,'Product Database'!A:G, 2,FALSE),"")</f>
        <v/>
      </c>
      <c r="L41" s="191"/>
      <c r="M41" s="191"/>
      <c r="N41" s="181" t="str">
        <f>IFERROR(VLOOKUP($H41,'Product Database'!A:G, 4,FALSE),"")</f>
        <v/>
      </c>
      <c r="O41" s="181"/>
      <c r="P41" s="184"/>
      <c r="Q41" s="185"/>
      <c r="R41" s="180" t="str">
        <f>IFERROR(VLOOKUP($H41, 'Product Database'!A:G, 6, FALSE), "")</f>
        <v/>
      </c>
      <c r="S41" s="180"/>
      <c r="T41" s="180"/>
      <c r="U41" s="180" t="str">
        <f t="shared" si="0"/>
        <v/>
      </c>
      <c r="V41" s="181"/>
      <c r="W41" s="181"/>
      <c r="X41" s="55"/>
    </row>
    <row r="42" spans="3:24" x14ac:dyDescent="0.25">
      <c r="C42" s="37"/>
      <c r="F42" s="49"/>
      <c r="G42" s="92" t="str">
        <f t="shared" si="1"/>
        <v/>
      </c>
      <c r="H42" s="192"/>
      <c r="I42" s="193"/>
      <c r="J42" s="194"/>
      <c r="K42" s="191" t="str">
        <f>IFERROR(VLOOKUP($H42,'Product Database'!A:G, 2,FALSE),"")</f>
        <v/>
      </c>
      <c r="L42" s="191"/>
      <c r="M42" s="191"/>
      <c r="N42" s="181" t="str">
        <f>IFERROR(VLOOKUP($H42,'Product Database'!A:G, 4,FALSE),"")</f>
        <v/>
      </c>
      <c r="O42" s="181"/>
      <c r="P42" s="184"/>
      <c r="Q42" s="185"/>
      <c r="R42" s="180" t="str">
        <f>IFERROR(VLOOKUP($H42, 'Product Database'!A:G, 6, FALSE), "")</f>
        <v/>
      </c>
      <c r="S42" s="180"/>
      <c r="T42" s="180"/>
      <c r="U42" s="180" t="str">
        <f t="shared" si="0"/>
        <v/>
      </c>
      <c r="V42" s="181"/>
      <c r="W42" s="181"/>
      <c r="X42" s="55"/>
    </row>
    <row r="43" spans="3:24" x14ac:dyDescent="0.25">
      <c r="C43" s="37"/>
      <c r="F43" s="90"/>
      <c r="G43" s="92" t="str">
        <f t="shared" si="1"/>
        <v/>
      </c>
      <c r="H43" s="192"/>
      <c r="I43" s="193"/>
      <c r="J43" s="194"/>
      <c r="K43" s="191" t="str">
        <f>IFERROR(VLOOKUP($H43,'Product Database'!A:G, 2,FALSE),"")</f>
        <v/>
      </c>
      <c r="L43" s="191"/>
      <c r="M43" s="191"/>
      <c r="N43" s="181" t="str">
        <f>IFERROR(VLOOKUP($H43,'Product Database'!A:G, 4,FALSE),"")</f>
        <v/>
      </c>
      <c r="O43" s="181"/>
      <c r="P43" s="88"/>
      <c r="Q43" s="89"/>
      <c r="R43" s="180" t="str">
        <f>IFERROR(VLOOKUP($H43, 'Product Database'!A:G, 6, FALSE), "")</f>
        <v/>
      </c>
      <c r="S43" s="180"/>
      <c r="T43" s="180"/>
      <c r="U43" s="180" t="str">
        <f t="shared" si="0"/>
        <v/>
      </c>
      <c r="V43" s="181"/>
      <c r="W43" s="181"/>
      <c r="X43" s="55"/>
    </row>
    <row r="44" spans="3:24" x14ac:dyDescent="0.25">
      <c r="C44" s="37"/>
      <c r="F44" s="90"/>
      <c r="G44" s="92" t="str">
        <f t="shared" si="1"/>
        <v/>
      </c>
      <c r="H44" s="192"/>
      <c r="I44" s="193"/>
      <c r="J44" s="194"/>
      <c r="K44" s="191" t="str">
        <f>IFERROR(VLOOKUP($H44,'Product Database'!A:G, 2,FALSE),"")</f>
        <v/>
      </c>
      <c r="L44" s="191"/>
      <c r="M44" s="191"/>
      <c r="N44" s="181" t="str">
        <f>IFERROR(VLOOKUP($H44,'Product Database'!A:G, 4,FALSE),"")</f>
        <v/>
      </c>
      <c r="O44" s="181"/>
      <c r="P44" s="88"/>
      <c r="Q44" s="89"/>
      <c r="R44" s="180" t="str">
        <f>IFERROR(VLOOKUP($H44, 'Product Database'!A:G, 6, FALSE), "")</f>
        <v/>
      </c>
      <c r="S44" s="180"/>
      <c r="T44" s="180"/>
      <c r="U44" s="180" t="str">
        <f t="shared" si="0"/>
        <v/>
      </c>
      <c r="V44" s="181"/>
      <c r="W44" s="181"/>
      <c r="X44" s="55"/>
    </row>
    <row r="45" spans="3:24" x14ac:dyDescent="0.25">
      <c r="C45" s="37"/>
      <c r="F45" s="90"/>
      <c r="G45" s="92" t="str">
        <f t="shared" si="1"/>
        <v/>
      </c>
      <c r="H45" s="192"/>
      <c r="I45" s="193"/>
      <c r="J45" s="194"/>
      <c r="K45" s="191" t="str">
        <f>IFERROR(VLOOKUP($H45,'Product Database'!A:G, 2,FALSE),"")</f>
        <v/>
      </c>
      <c r="L45" s="191"/>
      <c r="M45" s="191"/>
      <c r="N45" s="181" t="str">
        <f>IFERROR(VLOOKUP($H45,'Product Database'!A:G, 4,FALSE),"")</f>
        <v/>
      </c>
      <c r="O45" s="181"/>
      <c r="P45" s="88"/>
      <c r="Q45" s="89"/>
      <c r="R45" s="180" t="str">
        <f>IFERROR(VLOOKUP($H45, 'Product Database'!A:G, 6, FALSE), "")</f>
        <v/>
      </c>
      <c r="S45" s="180"/>
      <c r="T45" s="180"/>
      <c r="U45" s="180" t="str">
        <f t="shared" si="0"/>
        <v/>
      </c>
      <c r="V45" s="181"/>
      <c r="W45" s="181"/>
      <c r="X45" s="55"/>
    </row>
    <row r="46" spans="3:24" x14ac:dyDescent="0.25">
      <c r="C46" s="37"/>
      <c r="F46" s="49"/>
      <c r="G46" s="92" t="str">
        <f t="shared" si="1"/>
        <v/>
      </c>
      <c r="H46" s="192"/>
      <c r="I46" s="193"/>
      <c r="J46" s="194"/>
      <c r="K46" s="191" t="str">
        <f>IFERROR(VLOOKUP($H46,'Product Database'!A:G, 2,FALSE),"")</f>
        <v/>
      </c>
      <c r="L46" s="191"/>
      <c r="M46" s="191"/>
      <c r="N46" s="181" t="str">
        <f>IFERROR(VLOOKUP($H46,'Product Database'!A:G, 4,FALSE),"")</f>
        <v/>
      </c>
      <c r="O46" s="181"/>
      <c r="P46" s="184"/>
      <c r="Q46" s="185"/>
      <c r="R46" s="180" t="str">
        <f>IFERROR(VLOOKUP($H46, 'Product Database'!A:G, 6, FALSE), "")</f>
        <v/>
      </c>
      <c r="S46" s="180"/>
      <c r="T46" s="180"/>
      <c r="U46" s="180" t="str">
        <f t="shared" si="0"/>
        <v/>
      </c>
      <c r="V46" s="181"/>
      <c r="W46" s="181"/>
      <c r="X46" s="55"/>
    </row>
    <row r="47" spans="3:24" x14ac:dyDescent="0.25">
      <c r="C47" s="37"/>
      <c r="F47" s="49"/>
      <c r="G47" s="92" t="str">
        <f t="shared" si="1"/>
        <v/>
      </c>
      <c r="H47" s="187"/>
      <c r="I47" s="188"/>
      <c r="J47" s="189"/>
      <c r="K47" s="191" t="str">
        <f>IFERROR(VLOOKUP($H47,'Product Database'!A:G, 2,FALSE),"")</f>
        <v/>
      </c>
      <c r="L47" s="191"/>
      <c r="M47" s="191"/>
      <c r="N47" s="181" t="str">
        <f>IFERROR(VLOOKUP($H47,'Product Database'!A:G, 4,FALSE),"")</f>
        <v/>
      </c>
      <c r="O47" s="181"/>
      <c r="P47" s="184"/>
      <c r="Q47" s="185"/>
      <c r="R47" s="180" t="str">
        <f>IFERROR(VLOOKUP($H47, 'Product Database'!A:G, 6, FALSE), "")</f>
        <v/>
      </c>
      <c r="S47" s="180"/>
      <c r="T47" s="180"/>
      <c r="U47" s="180" t="str">
        <f t="shared" si="0"/>
        <v/>
      </c>
      <c r="V47" s="181"/>
      <c r="W47" s="181"/>
      <c r="X47" s="55"/>
    </row>
    <row r="48" spans="3:24" x14ac:dyDescent="0.25">
      <c r="F48" s="51"/>
      <c r="G48" s="64" t="str">
        <f t="shared" ref="G48" si="2">IF(H48&lt;&gt;"",G47+1,"")</f>
        <v/>
      </c>
      <c r="H48" s="190"/>
      <c r="I48" s="190"/>
      <c r="J48" s="190"/>
      <c r="K48" s="195" t="str">
        <f>IFERROR(VLOOKUP($H48,'Product Database'!A:G,2,FALSE),"")</f>
        <v/>
      </c>
      <c r="L48" s="195"/>
      <c r="M48" s="195"/>
      <c r="N48" s="183" t="str">
        <f>IFERROR(VLOOKUP($H48,'Product Database'!A:G,4,FALSE),"")</f>
        <v/>
      </c>
      <c r="O48" s="183"/>
      <c r="P48" s="183"/>
      <c r="Q48" s="183"/>
      <c r="R48" s="182" t="str">
        <f>IFERROR(VLOOKUP($H48,'Product Database'!A:G,6,FALSE),"")</f>
        <v/>
      </c>
      <c r="S48" s="182"/>
      <c r="T48" s="182"/>
      <c r="U48" s="182" t="str">
        <f t="shared" ref="U48" si="3">IFERROR(P48*R48,"")</f>
        <v/>
      </c>
      <c r="V48" s="183"/>
      <c r="W48" s="183"/>
      <c r="X48" s="63"/>
    </row>
    <row r="49" spans="6:24" x14ac:dyDescent="0.25"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68"/>
      <c r="R49" s="40"/>
      <c r="S49" s="40"/>
      <c r="T49" s="40"/>
      <c r="U49" s="40"/>
      <c r="V49" s="40"/>
      <c r="W49" s="40"/>
      <c r="X49" s="40"/>
    </row>
    <row r="50" spans="6:24" x14ac:dyDescent="0.25"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72"/>
      <c r="R50" s="48"/>
      <c r="S50" s="48"/>
      <c r="T50" s="48"/>
      <c r="U50" s="48"/>
      <c r="V50" s="48"/>
      <c r="W50" s="48"/>
      <c r="X50" s="48"/>
    </row>
    <row r="51" spans="6:24" x14ac:dyDescent="0.25"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72"/>
      <c r="R51" s="49"/>
      <c r="S51" s="49"/>
      <c r="T51" s="49" t="s">
        <v>8</v>
      </c>
      <c r="U51" s="173">
        <f>SUM(U33:W48)</f>
        <v>834000</v>
      </c>
      <c r="V51" s="174"/>
      <c r="W51" s="174"/>
      <c r="X51" s="49"/>
    </row>
    <row r="52" spans="6:24" x14ac:dyDescent="0.25"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72"/>
      <c r="R52" s="49"/>
      <c r="S52" s="49"/>
      <c r="T52" s="49" t="s">
        <v>39</v>
      </c>
      <c r="U52" s="173">
        <f>U51*(11/12)</f>
        <v>764500</v>
      </c>
      <c r="V52" s="174"/>
      <c r="W52" s="174"/>
      <c r="X52" s="49"/>
    </row>
    <row r="53" spans="6:24" x14ac:dyDescent="0.25"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72"/>
      <c r="R53" s="49"/>
      <c r="S53" s="49"/>
      <c r="T53" s="49" t="s">
        <v>271</v>
      </c>
      <c r="U53" s="173">
        <f>U52*12%</f>
        <v>91740</v>
      </c>
      <c r="V53" s="174"/>
      <c r="W53" s="174"/>
      <c r="X53" s="49"/>
    </row>
    <row r="54" spans="6:24" x14ac:dyDescent="0.25"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72"/>
      <c r="R54" s="49"/>
      <c r="S54" s="49"/>
      <c r="T54" s="65" t="s">
        <v>106</v>
      </c>
      <c r="U54" s="175">
        <f>U51+U53</f>
        <v>925740</v>
      </c>
      <c r="V54" s="176"/>
      <c r="W54" s="176"/>
      <c r="X54" s="49"/>
    </row>
    <row r="55" spans="6:24" x14ac:dyDescent="0.25"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72"/>
      <c r="R55" s="51"/>
      <c r="S55" s="51"/>
      <c r="T55" s="51"/>
      <c r="U55" s="51"/>
      <c r="V55" s="51"/>
      <c r="W55" s="51"/>
      <c r="X55" s="51"/>
    </row>
    <row r="56" spans="6:24" x14ac:dyDescent="0.25">
      <c r="Q56" s="74"/>
      <c r="R56" s="31"/>
      <c r="S56" s="31"/>
      <c r="T56" s="31"/>
      <c r="U56" s="31"/>
      <c r="V56" s="31"/>
      <c r="W56" s="31"/>
      <c r="X56" s="31"/>
    </row>
    <row r="57" spans="6:24" x14ac:dyDescent="0.25">
      <c r="Q57" s="74"/>
      <c r="R57" s="31"/>
      <c r="S57" s="31"/>
      <c r="T57" s="31"/>
      <c r="U57" s="31"/>
      <c r="V57" s="31"/>
      <c r="W57" s="31"/>
      <c r="X57" s="31"/>
    </row>
    <row r="58" spans="6:24" ht="6.75" customHeight="1" x14ac:dyDescent="0.25"/>
    <row r="59" spans="6:24" ht="15" customHeight="1" x14ac:dyDescent="0.25"/>
    <row r="60" spans="6:24" ht="8.25" customHeight="1" x14ac:dyDescent="0.25"/>
    <row r="61" spans="6:24" ht="9" customHeight="1" x14ac:dyDescent="0.25"/>
  </sheetData>
  <mergeCells count="128">
    <mergeCell ref="R32:T32"/>
    <mergeCell ref="U32:W32"/>
    <mergeCell ref="H43:J43"/>
    <mergeCell ref="H44:J44"/>
    <mergeCell ref="H45:J45"/>
    <mergeCell ref="K45:M45"/>
    <mergeCell ref="N43:O43"/>
    <mergeCell ref="N44:O44"/>
    <mergeCell ref="N45:O45"/>
    <mergeCell ref="R43:T43"/>
    <mergeCell ref="R44:T44"/>
    <mergeCell ref="R45:T45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  <mergeCell ref="H47:J47"/>
    <mergeCell ref="H48:J48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6:J46"/>
    <mergeCell ref="H37:J37"/>
    <mergeCell ref="K41:M41"/>
    <mergeCell ref="K42:M42"/>
    <mergeCell ref="K46:M46"/>
    <mergeCell ref="K47:M47"/>
    <mergeCell ref="K48:M48"/>
    <mergeCell ref="K43:M43"/>
    <mergeCell ref="K44:M44"/>
    <mergeCell ref="N37:O37"/>
    <mergeCell ref="P47:Q47"/>
    <mergeCell ref="P48:Q48"/>
    <mergeCell ref="R33:T33"/>
    <mergeCell ref="R34:T34"/>
    <mergeCell ref="R35:T35"/>
    <mergeCell ref="R36:T36"/>
    <mergeCell ref="R37:T37"/>
    <mergeCell ref="N47:O47"/>
    <mergeCell ref="N48:O48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6:O46"/>
    <mergeCell ref="U40:W40"/>
    <mergeCell ref="R38:T38"/>
    <mergeCell ref="R39:T39"/>
    <mergeCell ref="R40:T40"/>
    <mergeCell ref="R41:T41"/>
    <mergeCell ref="R42:T42"/>
    <mergeCell ref="R46:T46"/>
    <mergeCell ref="P41:Q41"/>
    <mergeCell ref="P42:Q42"/>
    <mergeCell ref="P46:Q46"/>
    <mergeCell ref="U43:W43"/>
    <mergeCell ref="U44:W44"/>
    <mergeCell ref="U45:W45"/>
    <mergeCell ref="U52:W52"/>
    <mergeCell ref="U53:W53"/>
    <mergeCell ref="U54:W54"/>
    <mergeCell ref="G22:L22"/>
    <mergeCell ref="G23:L23"/>
    <mergeCell ref="G24:L24"/>
    <mergeCell ref="G25:L25"/>
    <mergeCell ref="G26:L26"/>
    <mergeCell ref="Q19:R24"/>
    <mergeCell ref="U41:W41"/>
    <mergeCell ref="U42:W42"/>
    <mergeCell ref="U46:W46"/>
    <mergeCell ref="U47:W47"/>
    <mergeCell ref="U48:W48"/>
    <mergeCell ref="U51:W51"/>
    <mergeCell ref="R47:T47"/>
    <mergeCell ref="R48:T48"/>
    <mergeCell ref="U33:W33"/>
    <mergeCell ref="U34:W34"/>
    <mergeCell ref="U35:W35"/>
    <mergeCell ref="U36:W36"/>
    <mergeCell ref="U37:W37"/>
    <mergeCell ref="U38:W38"/>
    <mergeCell ref="U39:W39"/>
  </mergeCells>
  <dataValidations count="1">
    <dataValidation type="whole" operator="greaterThanOrEqual" allowBlank="1" showInputMessage="1" showErrorMessage="1" sqref="P33:Q48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H33:H48 I48:J48</xm:sqref>
        </x14:dataValidation>
        <x14:dataValidation type="list" allowBlank="1" showInputMessage="1" showErrorMessage="1" xr:uid="{630F2566-EAA0-4EA2-A32D-510A0BAE1EFD}">
          <x14:formula1>
            <xm:f>'Customer Database'!$A$2:$A$1048576</xm:f>
          </x14:formula1>
          <xm:sqref>K16</xm:sqref>
        </x14:dataValidation>
        <x14:dataValidation type="list" allowBlank="1" showInputMessage="1" showErrorMessage="1" xr:uid="{4918AF79-FA64-47C6-A27B-A49C965FB18C}">
          <x14:formula1>
            <xm:f>'Invoice Database'!$K$2:$K$1048576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AC17"/>
  <sheetViews>
    <sheetView zoomScaleNormal="100" workbookViewId="0">
      <selection activeCell="G9" sqref="G9"/>
    </sheetView>
  </sheetViews>
  <sheetFormatPr defaultRowHeight="15" x14ac:dyDescent="0.25"/>
  <cols>
    <col min="1" max="1" width="14" customWidth="1"/>
    <col min="2" max="2" width="14" style="1" customWidth="1"/>
    <col min="3" max="3" width="16.7109375" customWidth="1"/>
    <col min="4" max="4" width="23.85546875" style="106" customWidth="1"/>
    <col min="5" max="5" width="14.7109375" style="23" customWidth="1"/>
    <col min="6" max="6" width="16.5703125" style="23" customWidth="1"/>
    <col min="7" max="7" width="12.7109375" bestFit="1" customWidth="1"/>
    <col min="8" max="8" width="121.42578125" bestFit="1" customWidth="1"/>
    <col min="9" max="9" width="15.7109375" bestFit="1" customWidth="1"/>
    <col min="10" max="10" width="17.7109375" style="1" bestFit="1" customWidth="1"/>
    <col min="11" max="11" width="36.28515625" bestFit="1" customWidth="1"/>
    <col min="12" max="12" width="19.85546875" style="106" bestFit="1" customWidth="1"/>
    <col min="13" max="13" width="24.5703125" style="106" bestFit="1" customWidth="1"/>
    <col min="28" max="28" width="12.28515625" bestFit="1" customWidth="1"/>
  </cols>
  <sheetData>
    <row r="1" spans="1:29" s="24" customFormat="1" ht="23.25" customHeight="1" x14ac:dyDescent="0.25">
      <c r="A1" s="24" t="s">
        <v>1</v>
      </c>
      <c r="B1" s="24" t="s">
        <v>11</v>
      </c>
      <c r="C1" s="24" t="s">
        <v>46</v>
      </c>
      <c r="D1" s="105" t="s">
        <v>6</v>
      </c>
      <c r="E1" s="107" t="s">
        <v>41</v>
      </c>
      <c r="F1" s="24" t="s">
        <v>42</v>
      </c>
      <c r="G1" s="24" t="s">
        <v>47</v>
      </c>
      <c r="H1" s="21" t="s">
        <v>43</v>
      </c>
      <c r="I1" s="24" t="s">
        <v>44</v>
      </c>
      <c r="J1" s="24" t="s">
        <v>45</v>
      </c>
      <c r="K1" s="24" t="s">
        <v>63</v>
      </c>
      <c r="L1" s="105" t="s">
        <v>287</v>
      </c>
      <c r="M1" s="105" t="s">
        <v>288</v>
      </c>
      <c r="AA1" s="108">
        <v>1</v>
      </c>
      <c r="AB1" s="24" t="s">
        <v>304</v>
      </c>
      <c r="AC1" s="24" t="s">
        <v>303</v>
      </c>
    </row>
    <row r="2" spans="1:29" x14ac:dyDescent="0.25">
      <c r="A2">
        <v>8</v>
      </c>
      <c r="B2" s="1">
        <v>123</v>
      </c>
      <c r="C2" t="s">
        <v>120</v>
      </c>
      <c r="D2" s="231">
        <v>0</v>
      </c>
      <c r="E2" s="23">
        <v>46259</v>
      </c>
      <c r="F2" s="23">
        <v>46319</v>
      </c>
      <c r="G2" t="s">
        <v>52</v>
      </c>
      <c r="H2" s="21" t="s">
        <v>286</v>
      </c>
      <c r="K2" t="s">
        <v>273</v>
      </c>
      <c r="M2" s="106">
        <v>3000000</v>
      </c>
    </row>
    <row r="3" spans="1:29" x14ac:dyDescent="0.25">
      <c r="A3">
        <v>9</v>
      </c>
      <c r="B3" s="1">
        <v>0</v>
      </c>
      <c r="C3" t="s">
        <v>32</v>
      </c>
      <c r="D3" s="106">
        <v>4000000</v>
      </c>
      <c r="E3" s="23">
        <v>46263</v>
      </c>
      <c r="F3" s="23">
        <v>46263</v>
      </c>
      <c r="G3" t="s">
        <v>52</v>
      </c>
      <c r="K3" t="s">
        <v>282</v>
      </c>
      <c r="M3" s="106">
        <v>4000000</v>
      </c>
    </row>
    <row r="4" spans="1:29" x14ac:dyDescent="0.25">
      <c r="A4">
        <v>10</v>
      </c>
      <c r="B4" s="1">
        <v>0</v>
      </c>
      <c r="C4" t="s">
        <v>262</v>
      </c>
      <c r="D4" s="106">
        <v>4000000</v>
      </c>
      <c r="E4" s="23">
        <v>46263</v>
      </c>
      <c r="F4" s="23">
        <v>46263</v>
      </c>
      <c r="G4" t="s">
        <v>52</v>
      </c>
      <c r="H4" s="21" t="s">
        <v>314</v>
      </c>
      <c r="K4" t="s">
        <v>283</v>
      </c>
      <c r="M4" s="106">
        <v>4000000</v>
      </c>
    </row>
    <row r="5" spans="1:29" x14ac:dyDescent="0.25">
      <c r="A5">
        <v>11</v>
      </c>
      <c r="B5" s="1">
        <v>12</v>
      </c>
      <c r="C5" t="s">
        <v>213</v>
      </c>
      <c r="D5" s="106">
        <v>4000000</v>
      </c>
      <c r="E5" s="23">
        <v>46263</v>
      </c>
      <c r="F5" s="23">
        <v>46323</v>
      </c>
      <c r="G5" t="s">
        <v>52</v>
      </c>
      <c r="H5" s="21" t="s">
        <v>285</v>
      </c>
      <c r="K5" t="s">
        <v>284</v>
      </c>
      <c r="M5" s="106">
        <v>4000000</v>
      </c>
    </row>
    <row r="6" spans="1:29" x14ac:dyDescent="0.25">
      <c r="A6">
        <v>12</v>
      </c>
      <c r="B6" s="1">
        <v>423</v>
      </c>
      <c r="C6" t="s">
        <v>173</v>
      </c>
      <c r="D6" s="106">
        <v>4000000</v>
      </c>
      <c r="E6" s="23">
        <v>46262</v>
      </c>
      <c r="F6" s="23">
        <v>46484</v>
      </c>
      <c r="G6" t="s">
        <v>52</v>
      </c>
      <c r="K6" t="s">
        <v>280</v>
      </c>
      <c r="M6" s="106">
        <v>4000000</v>
      </c>
    </row>
    <row r="7" spans="1:29" x14ac:dyDescent="0.25">
      <c r="A7">
        <v>13</v>
      </c>
      <c r="B7" s="1">
        <v>501</v>
      </c>
      <c r="C7" t="s">
        <v>32</v>
      </c>
      <c r="D7" s="106">
        <v>4850000</v>
      </c>
      <c r="E7" s="23">
        <v>46235</v>
      </c>
      <c r="F7" s="23">
        <v>46265</v>
      </c>
      <c r="G7" t="s">
        <v>292</v>
      </c>
      <c r="K7" t="s">
        <v>289</v>
      </c>
      <c r="L7" s="106">
        <v>0</v>
      </c>
      <c r="M7" s="106">
        <v>4850000</v>
      </c>
    </row>
    <row r="8" spans="1:29" x14ac:dyDescent="0.25">
      <c r="A8">
        <v>14</v>
      </c>
      <c r="B8" s="1">
        <v>502</v>
      </c>
      <c r="C8" t="s">
        <v>107</v>
      </c>
      <c r="D8" s="106">
        <v>7250000</v>
      </c>
      <c r="E8" s="23">
        <v>46236</v>
      </c>
      <c r="F8" s="23">
        <v>46266</v>
      </c>
      <c r="G8" t="s">
        <v>290</v>
      </c>
      <c r="K8" t="s">
        <v>291</v>
      </c>
      <c r="L8" s="106">
        <v>3000000</v>
      </c>
      <c r="M8" s="106">
        <v>4250000</v>
      </c>
    </row>
    <row r="9" spans="1:29" x14ac:dyDescent="0.25">
      <c r="A9" s="1">
        <v>15</v>
      </c>
      <c r="B9" s="1">
        <v>503</v>
      </c>
      <c r="C9" s="1" t="s">
        <v>120</v>
      </c>
      <c r="D9" s="106">
        <v>12500000</v>
      </c>
      <c r="E9" s="23">
        <v>46237</v>
      </c>
      <c r="F9" s="23">
        <v>46267</v>
      </c>
      <c r="G9" s="1" t="s">
        <v>292</v>
      </c>
      <c r="H9" s="1"/>
      <c r="I9" s="1"/>
      <c r="K9" s="1" t="s">
        <v>293</v>
      </c>
      <c r="L9" s="106">
        <v>12500000</v>
      </c>
      <c r="M9" s="106">
        <v>0</v>
      </c>
    </row>
    <row r="10" spans="1:29" x14ac:dyDescent="0.25">
      <c r="A10" s="1">
        <v>16</v>
      </c>
      <c r="B10" s="1">
        <v>504</v>
      </c>
      <c r="C10" s="1" t="s">
        <v>127</v>
      </c>
      <c r="D10" s="106">
        <v>3750000</v>
      </c>
      <c r="E10" s="23">
        <v>46239</v>
      </c>
      <c r="F10" s="23">
        <v>46254</v>
      </c>
      <c r="G10" s="1" t="s">
        <v>294</v>
      </c>
      <c r="H10" s="1"/>
      <c r="I10" s="1"/>
      <c r="K10" s="1" t="s">
        <v>295</v>
      </c>
      <c r="L10" s="106">
        <v>0</v>
      </c>
      <c r="M10" s="106">
        <v>3750000</v>
      </c>
    </row>
    <row r="11" spans="1:29" x14ac:dyDescent="0.25">
      <c r="A11" s="1">
        <v>17</v>
      </c>
      <c r="B11" s="1">
        <v>505</v>
      </c>
      <c r="C11" s="1" t="s">
        <v>133</v>
      </c>
      <c r="D11" s="106">
        <v>6400000</v>
      </c>
      <c r="E11" s="23">
        <v>46240</v>
      </c>
      <c r="F11" s="23">
        <v>46270</v>
      </c>
      <c r="G11" s="1" t="s">
        <v>52</v>
      </c>
      <c r="H11" s="1"/>
      <c r="I11" s="1"/>
      <c r="K11" s="1" t="s">
        <v>296</v>
      </c>
      <c r="L11" s="106">
        <v>0</v>
      </c>
      <c r="M11" s="106">
        <v>6400000</v>
      </c>
    </row>
    <row r="12" spans="1:29" x14ac:dyDescent="0.25">
      <c r="A12" s="1">
        <v>18</v>
      </c>
      <c r="B12" s="1">
        <v>506</v>
      </c>
      <c r="C12" s="1" t="s">
        <v>146</v>
      </c>
      <c r="D12" s="106">
        <v>9850000</v>
      </c>
      <c r="E12" s="23">
        <v>46241</v>
      </c>
      <c r="F12" s="23">
        <v>46256</v>
      </c>
      <c r="G12" s="1" t="s">
        <v>294</v>
      </c>
      <c r="H12" s="1"/>
      <c r="I12" s="1"/>
      <c r="K12" s="1" t="s">
        <v>297</v>
      </c>
      <c r="L12" s="106">
        <v>2000000</v>
      </c>
      <c r="M12" s="106">
        <v>7850000</v>
      </c>
    </row>
    <row r="13" spans="1:29" x14ac:dyDescent="0.25">
      <c r="A13" s="1">
        <v>19</v>
      </c>
      <c r="B13" s="1">
        <v>507</v>
      </c>
      <c r="C13" s="1" t="s">
        <v>153</v>
      </c>
      <c r="D13" s="106">
        <v>5600000</v>
      </c>
      <c r="E13" s="23">
        <v>46242</v>
      </c>
      <c r="F13" s="23">
        <v>46272</v>
      </c>
      <c r="G13" s="1" t="s">
        <v>292</v>
      </c>
      <c r="H13" s="1"/>
      <c r="I13" s="1"/>
      <c r="K13" s="1" t="s">
        <v>298</v>
      </c>
      <c r="L13" s="106">
        <v>5600000</v>
      </c>
      <c r="M13" s="106">
        <v>0</v>
      </c>
    </row>
    <row r="14" spans="1:29" x14ac:dyDescent="0.25">
      <c r="A14" s="1">
        <v>20</v>
      </c>
      <c r="B14" s="1">
        <v>508</v>
      </c>
      <c r="C14" s="1" t="s">
        <v>173</v>
      </c>
      <c r="D14" s="106">
        <v>2950000</v>
      </c>
      <c r="E14" s="23">
        <v>46244</v>
      </c>
      <c r="F14" s="23">
        <v>46274</v>
      </c>
      <c r="G14" s="1" t="s">
        <v>290</v>
      </c>
      <c r="H14" s="1"/>
      <c r="I14" s="1"/>
      <c r="K14" s="1" t="s">
        <v>299</v>
      </c>
      <c r="L14" s="106">
        <v>1000000</v>
      </c>
      <c r="M14" s="106">
        <v>1950000</v>
      </c>
    </row>
    <row r="15" spans="1:29" x14ac:dyDescent="0.25">
      <c r="A15" s="1">
        <v>21</v>
      </c>
      <c r="B15" s="1">
        <v>509</v>
      </c>
      <c r="C15" s="1" t="s">
        <v>199</v>
      </c>
      <c r="D15" s="106">
        <v>15750000</v>
      </c>
      <c r="E15" s="23">
        <v>46245</v>
      </c>
      <c r="F15" s="23">
        <v>46275</v>
      </c>
      <c r="G15" s="1" t="s">
        <v>52</v>
      </c>
      <c r="H15" s="1"/>
      <c r="I15" s="1"/>
      <c r="K15" s="1" t="s">
        <v>300</v>
      </c>
      <c r="L15" s="106">
        <v>0</v>
      </c>
      <c r="M15" s="106">
        <v>15750000</v>
      </c>
    </row>
    <row r="16" spans="1:29" x14ac:dyDescent="0.25">
      <c r="A16" s="1">
        <v>22</v>
      </c>
      <c r="B16" s="1">
        <v>510</v>
      </c>
      <c r="C16" s="1" t="s">
        <v>206</v>
      </c>
      <c r="D16" s="106">
        <v>8200000</v>
      </c>
      <c r="E16" s="23">
        <v>46246</v>
      </c>
      <c r="F16" s="23">
        <v>46261</v>
      </c>
      <c r="G16" s="1" t="s">
        <v>294</v>
      </c>
      <c r="H16" s="1"/>
      <c r="I16" s="1"/>
      <c r="K16" s="1" t="s">
        <v>301</v>
      </c>
      <c r="L16" s="106">
        <v>4000000</v>
      </c>
      <c r="M16" s="106">
        <v>4200000</v>
      </c>
    </row>
    <row r="17" spans="1:11" x14ac:dyDescent="0.25">
      <c r="A17" s="1"/>
      <c r="C17" s="1"/>
      <c r="G17" s="1"/>
      <c r="H17" s="1"/>
      <c r="I17" s="1"/>
      <c r="K17" s="1"/>
    </row>
  </sheetData>
  <conditionalFormatting sqref="A1:Z1 AB1:XFD1 A2:XFD1048576">
    <cfRule type="expression" dxfId="1" priority="1">
      <formula>IF(AND($A1&lt;&gt;"",$F1&lt;TODAY(),$G1&lt;&gt;"Paid"),TRUE,FALSE)</formula>
    </cfRule>
  </conditionalFormatting>
  <conditionalFormatting sqref="AA1">
    <cfRule type="expression" dxfId="0" priority="8">
      <formula>IF(AND(#REF!&lt;&gt;"",#REF!&lt;TODAY(),#REF!&lt;&gt;"Paid"),TRUE,FALSE)</formula>
    </cfRule>
  </conditionalFormatting>
  <dataValidations count="1">
    <dataValidation type="list" allowBlank="1" showInputMessage="1" showErrorMessage="1" sqref="G1:G1048576" xr:uid="{2CE564C9-6518-4DA7-B739-8D7A819F8867}">
      <formula1>"Paid,Unpaid,Partially Paid,Overdue"</formula1>
    </dataValidation>
  </dataValidations>
  <hyperlinks>
    <hyperlink ref="H1" r:id="rId1" display="../invoice/INV-2026-PT Makassar Retail Utama-11.pdf" xr:uid="{06F55CDF-A5BE-4F07-8A20-FE5258E828F7}"/>
    <hyperlink ref="H5" r:id="rId2" display="../invoice/INV-2026-PT Makassar Retail Utama-11.pdf" xr:uid="{9C39347F-C269-4E61-8DFB-736D3D52E40B}"/>
    <hyperlink ref="H2" r:id="rId3" display="../invoice/INV-2026-PT Sinar Karya Abadi-8.pdf" xr:uid="{F2795A6D-FF8B-47E5-8411-FAA1E17D4DBD}"/>
    <hyperlink ref="H4" r:id="rId4" display="../invoice/INV-2026-PT Manado Lifestyle Center-10.pdf" xr:uid="{F7CA6E40-A81A-4BB6-8987-D02E5455C75D}"/>
  </hyperlinks>
  <pageMargins left="0.7" right="0.7" top="0.75" bottom="0.75" header="0.3" footer="0.3"/>
  <pageSetup paperSize="9" orientation="portrait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AF47"/>
  <sheetViews>
    <sheetView view="pageBreakPreview" zoomScale="85" zoomScaleNormal="70" zoomScaleSheetLayoutView="85" workbookViewId="0">
      <selection activeCell="Q20" sqref="Q20"/>
    </sheetView>
  </sheetViews>
  <sheetFormatPr defaultRowHeight="15" x14ac:dyDescent="0.2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1.42578125" style="4" customWidth="1"/>
    <col min="7" max="7" width="5.5703125" style="4" customWidth="1"/>
    <col min="8" max="8" width="4.28515625" style="4" customWidth="1"/>
    <col min="9" max="9" width="15.85546875" style="4" customWidth="1"/>
    <col min="10" max="10" width="12.5703125" style="4" customWidth="1"/>
    <col min="11" max="11" width="6.140625" style="4" customWidth="1"/>
    <col min="12" max="12" width="16.5703125" style="4" customWidth="1"/>
    <col min="13" max="13" width="11.42578125" style="4" customWidth="1"/>
    <col min="14" max="16384" width="9.140625" style="4"/>
  </cols>
  <sheetData>
    <row r="2" spans="1:16" ht="24.75" customHeight="1" x14ac:dyDescent="0.25">
      <c r="A2" s="219" t="s">
        <v>324</v>
      </c>
      <c r="B2" s="219"/>
      <c r="C2" s="219"/>
      <c r="D2" s="219"/>
      <c r="E2" s="219"/>
      <c r="F2" s="2"/>
      <c r="G2" s="220" t="s">
        <v>0</v>
      </c>
      <c r="H2" s="220"/>
      <c r="I2" s="220"/>
      <c r="J2" s="220"/>
      <c r="K2" s="220"/>
      <c r="L2" s="3"/>
      <c r="M2" s="3"/>
      <c r="N2" s="3"/>
      <c r="O2" s="3"/>
    </row>
    <row r="3" spans="1:16" ht="3.75" customHeight="1" x14ac:dyDescent="0.25">
      <c r="A3" s="20"/>
      <c r="B3" s="20"/>
      <c r="C3" s="20"/>
      <c r="D3" s="20"/>
      <c r="E3" s="20"/>
      <c r="F3" s="2"/>
      <c r="G3" s="220"/>
      <c r="H3" s="220"/>
      <c r="I3" s="220"/>
      <c r="J3" s="220"/>
      <c r="K3" s="220"/>
      <c r="L3" s="3"/>
      <c r="M3" s="3"/>
      <c r="N3" s="3"/>
      <c r="O3" s="3"/>
    </row>
    <row r="4" spans="1:16" ht="9.75" customHeight="1" x14ac:dyDescent="0.25">
      <c r="A4" s="221" t="s">
        <v>17</v>
      </c>
      <c r="B4" s="221"/>
      <c r="C4" s="221"/>
      <c r="D4" s="221"/>
      <c r="E4" s="221"/>
      <c r="F4" s="2"/>
      <c r="G4" s="220"/>
      <c r="H4" s="220"/>
      <c r="I4" s="220"/>
      <c r="J4" s="220"/>
      <c r="K4" s="220"/>
      <c r="L4" s="3"/>
      <c r="M4" s="3"/>
      <c r="N4" s="3"/>
      <c r="O4" s="3"/>
    </row>
    <row r="5" spans="1:16" ht="17.25" customHeight="1" x14ac:dyDescent="0.25">
      <c r="A5" s="221"/>
      <c r="B5" s="221"/>
      <c r="C5" s="221"/>
      <c r="D5" s="221"/>
      <c r="E5" s="221"/>
      <c r="F5" s="2"/>
      <c r="G5" s="220"/>
      <c r="H5" s="220"/>
      <c r="I5" s="220"/>
      <c r="J5" s="220"/>
      <c r="K5" s="220"/>
      <c r="L5" s="3"/>
      <c r="M5" s="3"/>
      <c r="N5" s="3"/>
      <c r="O5" s="3"/>
    </row>
    <row r="6" spans="1:16" ht="15" customHeight="1" x14ac:dyDescent="0.25">
      <c r="A6" s="223" t="s">
        <v>18</v>
      </c>
      <c r="B6" s="223"/>
      <c r="C6" s="223"/>
      <c r="D6" s="223"/>
      <c r="E6" s="223"/>
      <c r="F6" s="5"/>
      <c r="G6" s="6"/>
      <c r="H6" s="96"/>
      <c r="I6" s="6"/>
      <c r="J6" s="6"/>
    </row>
    <row r="7" spans="1:16" ht="15" customHeight="1" x14ac:dyDescent="0.25">
      <c r="A7" s="8" t="s">
        <v>19</v>
      </c>
      <c r="B7" s="8"/>
      <c r="C7" s="8"/>
      <c r="D7" s="8"/>
      <c r="E7" s="9"/>
      <c r="F7" s="6"/>
      <c r="I7" s="19" t="s">
        <v>53</v>
      </c>
      <c r="J7" s="100">
        <v>8</v>
      </c>
      <c r="K7" s="102"/>
    </row>
    <row r="8" spans="1:16" x14ac:dyDescent="0.25">
      <c r="A8" s="8"/>
      <c r="B8" s="8"/>
      <c r="C8" s="8"/>
      <c r="D8" s="8"/>
      <c r="E8" s="9"/>
      <c r="F8" s="7"/>
      <c r="I8" s="19" t="s">
        <v>281</v>
      </c>
      <c r="J8" s="100">
        <v>123</v>
      </c>
      <c r="K8" s="102"/>
    </row>
    <row r="9" spans="1:16" ht="15" customHeight="1" x14ac:dyDescent="0.25">
      <c r="F9" s="6"/>
      <c r="G9" s="6"/>
      <c r="H9" s="96"/>
      <c r="I9" s="104" t="s">
        <v>55</v>
      </c>
      <c r="J9" s="101">
        <v>46259</v>
      </c>
      <c r="K9" s="103"/>
    </row>
    <row r="10" spans="1:16" s="9" customFormat="1" x14ac:dyDescent="0.25">
      <c r="F10" s="3"/>
      <c r="G10" s="3"/>
      <c r="H10" s="98"/>
      <c r="I10" s="19" t="s">
        <v>56</v>
      </c>
      <c r="J10" s="100">
        <v>60</v>
      </c>
      <c r="K10" s="102"/>
      <c r="P10" s="4"/>
    </row>
    <row r="11" spans="1:16" ht="15" customHeight="1" x14ac:dyDescent="0.25">
      <c r="B11" s="222" t="s">
        <v>2</v>
      </c>
      <c r="C11" s="222"/>
      <c r="E11" s="10"/>
      <c r="F11" s="10"/>
      <c r="G11" s="6"/>
      <c r="H11" s="96"/>
    </row>
    <row r="12" spans="1:16" ht="15" customHeight="1" x14ac:dyDescent="0.25">
      <c r="B12" s="221" t="s">
        <v>16</v>
      </c>
      <c r="C12" s="221"/>
      <c r="D12" s="11" t="s">
        <v>12</v>
      </c>
      <c r="E12" s="6" t="s">
        <v>120</v>
      </c>
      <c r="F12" s="6"/>
      <c r="G12" s="6"/>
      <c r="H12" s="96"/>
    </row>
    <row r="13" spans="1:16" ht="15" customHeight="1" x14ac:dyDescent="0.25">
      <c r="B13" s="221" t="s">
        <v>13</v>
      </c>
      <c r="C13" s="221"/>
      <c r="D13" s="11" t="s">
        <v>12</v>
      </c>
      <c r="E13" s="228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Database'!A:F,6,FALSE)),"")</f>
        <v>Graha Sinar Lt. 3, Jl. Tomang Raya No. 25, RT 004/RW 007, Kel. Tomang, Kec. Grogol Petamburan, Jakarta Barat, DKI Jakarta, 11440, Indonesia</v>
      </c>
      <c r="F13" s="228"/>
      <c r="G13" s="228"/>
      <c r="H13" s="228"/>
      <c r="I13" s="228"/>
      <c r="J13" s="228"/>
    </row>
    <row r="14" spans="1:16" ht="15" customHeight="1" x14ac:dyDescent="0.25">
      <c r="B14" s="6"/>
      <c r="C14" s="6"/>
      <c r="D14" s="11"/>
      <c r="E14" s="228"/>
      <c r="F14" s="228"/>
      <c r="G14" s="228"/>
      <c r="H14" s="228"/>
      <c r="I14" s="228"/>
      <c r="J14" s="228"/>
    </row>
    <row r="15" spans="1:16" ht="15" customHeight="1" x14ac:dyDescent="0.25">
      <c r="B15" s="6"/>
      <c r="C15" s="6"/>
      <c r="D15" s="11"/>
      <c r="E15" s="228"/>
      <c r="F15" s="228"/>
      <c r="G15" s="228"/>
      <c r="H15" s="228"/>
      <c r="I15" s="228"/>
      <c r="J15" s="228"/>
    </row>
    <row r="16" spans="1:16" ht="15" customHeight="1" x14ac:dyDescent="0.25">
      <c r="B16" s="221" t="s">
        <v>14</v>
      </c>
      <c r="C16" s="221"/>
      <c r="D16" s="11" t="s">
        <v>12</v>
      </c>
      <c r="E16" s="22">
        <f>IFERROR(VLOOKUP($E$12,'Customer Database'!A:H,7,FALSE),"")</f>
        <v>81234567003</v>
      </c>
      <c r="F16" s="6"/>
      <c r="G16" s="6"/>
      <c r="H16" s="96"/>
    </row>
    <row r="17" spans="1:32" ht="15" customHeight="1" x14ac:dyDescent="0.25">
      <c r="B17" s="4" t="s">
        <v>15</v>
      </c>
      <c r="D17" s="11" t="s">
        <v>12</v>
      </c>
      <c r="E17" s="99" t="str">
        <f>IFERROR(VLOOKUP($E$12,'Customer Database'!A:H,8,FALSE),"")</f>
        <v>accounting@sinarkarya.co.id</v>
      </c>
      <c r="F17" s="6"/>
      <c r="G17" s="6"/>
      <c r="H17" s="96"/>
    </row>
    <row r="18" spans="1:32" ht="9" customHeight="1" x14ac:dyDescent="0.25">
      <c r="B18" s="6"/>
      <c r="C18" s="6"/>
      <c r="D18" s="11"/>
      <c r="E18" s="6"/>
      <c r="F18" s="6"/>
      <c r="G18" s="6"/>
      <c r="H18" s="96"/>
    </row>
    <row r="19" spans="1:32" ht="9.75" customHeight="1" x14ac:dyDescent="0.25">
      <c r="A19" s="6"/>
      <c r="B19" s="6"/>
      <c r="C19" s="6"/>
      <c r="D19" s="6"/>
      <c r="E19" s="6"/>
      <c r="F19" s="6"/>
      <c r="G19" s="6"/>
      <c r="H19" s="96"/>
      <c r="I19" s="6"/>
      <c r="J19" s="6"/>
      <c r="K19" s="6"/>
    </row>
    <row r="20" spans="1:32" ht="15" customHeight="1" x14ac:dyDescent="0.25">
      <c r="A20" s="213" t="s">
        <v>3</v>
      </c>
      <c r="B20" s="214"/>
      <c r="C20" s="91" t="s">
        <v>64</v>
      </c>
      <c r="D20" s="225" t="s">
        <v>4</v>
      </c>
      <c r="E20" s="225"/>
      <c r="F20" s="225"/>
      <c r="G20" s="12" t="s">
        <v>5</v>
      </c>
      <c r="H20" s="213" t="s">
        <v>105</v>
      </c>
      <c r="I20" s="214"/>
      <c r="J20" s="213" t="s">
        <v>6</v>
      </c>
      <c r="K20" s="214"/>
    </row>
    <row r="21" spans="1:32" ht="15" customHeight="1" x14ac:dyDescent="0.25">
      <c r="A21" s="211">
        <v>1</v>
      </c>
      <c r="B21" s="212"/>
      <c r="C21" s="94" t="s">
        <v>77</v>
      </c>
      <c r="D21" s="218" t="s">
        <v>78</v>
      </c>
      <c r="E21" s="218"/>
      <c r="F21" s="218"/>
      <c r="G21" s="95">
        <v>1</v>
      </c>
      <c r="H21" s="215">
        <v>189000</v>
      </c>
      <c r="I21" s="216"/>
      <c r="J21" s="215">
        <v>189000</v>
      </c>
      <c r="K21" s="216"/>
    </row>
    <row r="22" spans="1:32" ht="15" customHeight="1" x14ac:dyDescent="0.25">
      <c r="A22" s="211">
        <f>IF(C22&lt;&gt;"",A21+1,"")</f>
        <v>2</v>
      </c>
      <c r="B22" s="212"/>
      <c r="C22" s="94" t="s">
        <v>81</v>
      </c>
      <c r="D22" s="218" t="s">
        <v>82</v>
      </c>
      <c r="E22" s="218"/>
      <c r="F22" s="218"/>
      <c r="G22" s="95">
        <v>5</v>
      </c>
      <c r="H22" s="215">
        <v>129000</v>
      </c>
      <c r="I22" s="216"/>
      <c r="J22" s="215">
        <v>645000</v>
      </c>
      <c r="K22" s="216"/>
    </row>
    <row r="23" spans="1:32" ht="15" customHeight="1" x14ac:dyDescent="0.25">
      <c r="A23" s="211" t="str">
        <f t="shared" ref="A23:A35" si="0">IF(C23&lt;&gt;"",A22+1,"")</f>
        <v/>
      </c>
      <c r="B23" s="212"/>
      <c r="C23" s="94"/>
      <c r="D23" s="218"/>
      <c r="E23" s="218"/>
      <c r="F23" s="218"/>
      <c r="G23" s="95"/>
      <c r="H23" s="215"/>
      <c r="I23" s="216"/>
      <c r="J23" s="215"/>
      <c r="K23" s="216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" customHeight="1" x14ac:dyDescent="0.25">
      <c r="A24" s="211" t="str">
        <f t="shared" si="0"/>
        <v/>
      </c>
      <c r="B24" s="212"/>
      <c r="C24" s="94"/>
      <c r="D24" s="218"/>
      <c r="E24" s="218"/>
      <c r="F24" s="218"/>
      <c r="G24" s="95"/>
      <c r="H24" s="215"/>
      <c r="I24" s="216"/>
      <c r="J24" s="215"/>
      <c r="K24" s="216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5">
      <c r="A25" s="211" t="str">
        <f t="shared" si="0"/>
        <v/>
      </c>
      <c r="B25" s="212"/>
      <c r="C25" s="94"/>
      <c r="D25" s="218"/>
      <c r="E25" s="218"/>
      <c r="F25" s="218"/>
      <c r="G25" s="95"/>
      <c r="H25" s="211"/>
      <c r="I25" s="212"/>
      <c r="J25" s="215"/>
      <c r="K25" s="216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5">
      <c r="A26" s="211" t="str">
        <f t="shared" si="0"/>
        <v/>
      </c>
      <c r="B26" s="212"/>
      <c r="C26" s="94"/>
      <c r="D26" s="218"/>
      <c r="E26" s="218"/>
      <c r="F26" s="218"/>
      <c r="G26" s="95"/>
      <c r="H26" s="211"/>
      <c r="I26" s="212"/>
      <c r="J26" s="215"/>
      <c r="K26" s="216"/>
      <c r="O26" s="1"/>
      <c r="P26" s="1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</row>
    <row r="27" spans="1:32" x14ac:dyDescent="0.25">
      <c r="A27" s="211" t="str">
        <f t="shared" si="0"/>
        <v/>
      </c>
      <c r="B27" s="212"/>
      <c r="C27" s="94"/>
      <c r="D27" s="218"/>
      <c r="E27" s="218"/>
      <c r="F27" s="218"/>
      <c r="G27" s="95"/>
      <c r="H27" s="211"/>
      <c r="I27" s="212"/>
      <c r="J27" s="215"/>
      <c r="K27" s="216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211" t="str">
        <f t="shared" si="0"/>
        <v/>
      </c>
      <c r="B28" s="212"/>
      <c r="C28" s="94"/>
      <c r="D28" s="218"/>
      <c r="E28" s="218"/>
      <c r="F28" s="218"/>
      <c r="G28" s="95"/>
      <c r="H28" s="211"/>
      <c r="I28" s="212"/>
      <c r="J28" s="215"/>
      <c r="K28" s="216"/>
    </row>
    <row r="29" spans="1:32" x14ac:dyDescent="0.25">
      <c r="A29" s="211" t="str">
        <f t="shared" si="0"/>
        <v/>
      </c>
      <c r="B29" s="212"/>
      <c r="C29" s="94"/>
      <c r="D29" s="218"/>
      <c r="E29" s="218"/>
      <c r="F29" s="218"/>
      <c r="G29" s="95"/>
      <c r="H29" s="211"/>
      <c r="I29" s="212"/>
      <c r="J29" s="215"/>
      <c r="K29" s="216"/>
    </row>
    <row r="30" spans="1:32" x14ac:dyDescent="0.25">
      <c r="A30" s="211" t="str">
        <f t="shared" si="0"/>
        <v/>
      </c>
      <c r="B30" s="212"/>
      <c r="C30" s="94"/>
      <c r="D30" s="218"/>
      <c r="E30" s="218"/>
      <c r="F30" s="218"/>
      <c r="G30" s="95"/>
      <c r="H30" s="211"/>
      <c r="I30" s="212"/>
      <c r="J30" s="215"/>
      <c r="K30" s="216"/>
    </row>
    <row r="31" spans="1:32" x14ac:dyDescent="0.25">
      <c r="A31" s="211" t="str">
        <f t="shared" si="0"/>
        <v/>
      </c>
      <c r="B31" s="212"/>
      <c r="C31" s="94"/>
      <c r="D31" s="218"/>
      <c r="E31" s="218"/>
      <c r="F31" s="218"/>
      <c r="G31" s="95"/>
      <c r="H31" s="211"/>
      <c r="I31" s="212"/>
      <c r="J31" s="215"/>
      <c r="K31" s="216"/>
    </row>
    <row r="32" spans="1:32" x14ac:dyDescent="0.25">
      <c r="A32" s="211" t="str">
        <f t="shared" si="0"/>
        <v/>
      </c>
      <c r="B32" s="212"/>
      <c r="C32" s="94"/>
      <c r="D32" s="218"/>
      <c r="E32" s="218"/>
      <c r="F32" s="218"/>
      <c r="G32" s="95"/>
      <c r="H32" s="211"/>
      <c r="I32" s="212"/>
      <c r="J32" s="215"/>
      <c r="K32" s="216"/>
    </row>
    <row r="33" spans="1:11" x14ac:dyDescent="0.25">
      <c r="A33" s="211" t="str">
        <f t="shared" si="0"/>
        <v/>
      </c>
      <c r="B33" s="212"/>
      <c r="C33" s="94"/>
      <c r="D33" s="218"/>
      <c r="E33" s="218"/>
      <c r="F33" s="218"/>
      <c r="G33" s="95"/>
      <c r="H33" s="211"/>
      <c r="I33" s="212"/>
      <c r="J33" s="215"/>
      <c r="K33" s="216"/>
    </row>
    <row r="34" spans="1:11" x14ac:dyDescent="0.25">
      <c r="A34" s="211" t="str">
        <f t="shared" si="0"/>
        <v/>
      </c>
      <c r="B34" s="212"/>
      <c r="C34" s="94"/>
      <c r="D34" s="218"/>
      <c r="E34" s="218"/>
      <c r="F34" s="218"/>
      <c r="G34" s="95"/>
      <c r="H34" s="211"/>
      <c r="I34" s="212"/>
      <c r="J34" s="215"/>
      <c r="K34" s="216"/>
    </row>
    <row r="35" spans="1:11" x14ac:dyDescent="0.25">
      <c r="A35" s="211" t="str">
        <f t="shared" si="0"/>
        <v/>
      </c>
      <c r="B35" s="212"/>
      <c r="C35" s="94"/>
      <c r="D35" s="218"/>
      <c r="E35" s="218"/>
      <c r="F35" s="218"/>
      <c r="G35" s="95"/>
      <c r="H35" s="211"/>
      <c r="I35" s="212"/>
      <c r="J35" s="215"/>
      <c r="K35" s="216"/>
    </row>
    <row r="36" spans="1:11" ht="23.25" customHeight="1" x14ac:dyDescent="0.25">
      <c r="A36" s="15"/>
      <c r="B36" s="15"/>
      <c r="C36" s="13"/>
      <c r="D36" s="217"/>
      <c r="E36" s="217"/>
      <c r="F36" s="217"/>
      <c r="G36" s="13"/>
      <c r="H36" s="97"/>
      <c r="I36" s="15"/>
      <c r="J36" s="15"/>
      <c r="K36" s="15"/>
    </row>
    <row r="37" spans="1:11" x14ac:dyDescent="0.25">
      <c r="A37" s="15"/>
      <c r="B37" s="222" t="s">
        <v>10</v>
      </c>
      <c r="C37" s="222"/>
      <c r="D37" s="222"/>
      <c r="E37" s="222"/>
      <c r="F37" s="13"/>
      <c r="G37" s="13"/>
      <c r="H37" s="97"/>
      <c r="I37" s="14" t="s">
        <v>8</v>
      </c>
      <c r="J37" s="227">
        <f>IF($C$21="","",SUM(J21:K35))</f>
        <v>834000</v>
      </c>
      <c r="K37" s="227"/>
    </row>
    <row r="38" spans="1:11" x14ac:dyDescent="0.25">
      <c r="A38" s="13"/>
      <c r="B38" s="221" t="s">
        <v>20</v>
      </c>
      <c r="C38" s="221"/>
      <c r="D38" s="11" t="s">
        <v>12</v>
      </c>
      <c r="E38" s="224" t="s">
        <v>21</v>
      </c>
      <c r="F38" s="224"/>
      <c r="G38" s="13"/>
      <c r="H38" s="97"/>
      <c r="I38" s="14" t="s">
        <v>39</v>
      </c>
      <c r="J38" s="227">
        <f>IF($C$21="","",J37*(11/12))</f>
        <v>764500</v>
      </c>
      <c r="K38" s="227"/>
    </row>
    <row r="39" spans="1:11" x14ac:dyDescent="0.25">
      <c r="A39" s="13"/>
      <c r="B39" s="221" t="s">
        <v>24</v>
      </c>
      <c r="C39" s="221"/>
      <c r="D39" s="11" t="s">
        <v>12</v>
      </c>
      <c r="E39" s="13" t="s">
        <v>22</v>
      </c>
      <c r="F39" s="13"/>
      <c r="G39" s="13"/>
      <c r="H39" s="97"/>
      <c r="I39" s="14" t="s">
        <v>40</v>
      </c>
      <c r="J39" s="227">
        <f>IF($C$21="","",J38*12%)</f>
        <v>91740</v>
      </c>
      <c r="K39" s="227"/>
    </row>
    <row r="40" spans="1:11" x14ac:dyDescent="0.25">
      <c r="A40" s="13"/>
      <c r="B40" s="221" t="s">
        <v>25</v>
      </c>
      <c r="C40" s="221"/>
      <c r="D40" s="11" t="s">
        <v>12</v>
      </c>
      <c r="E40" s="16" t="s">
        <v>23</v>
      </c>
      <c r="F40" s="6"/>
      <c r="G40" s="13"/>
      <c r="H40" s="97"/>
      <c r="I40" s="17" t="s">
        <v>9</v>
      </c>
      <c r="J40" s="226">
        <f>IF($C$21="","",J37+J39)</f>
        <v>925740</v>
      </c>
      <c r="K40" s="226"/>
    </row>
    <row r="41" spans="1:11" x14ac:dyDescent="0.25">
      <c r="A41" s="13"/>
      <c r="G41" s="13"/>
      <c r="H41" s="97"/>
      <c r="K41" s="15"/>
    </row>
    <row r="42" spans="1:11" x14ac:dyDescent="0.25">
      <c r="A42" s="6"/>
      <c r="G42" s="6"/>
      <c r="H42" s="96"/>
      <c r="K42" s="15"/>
    </row>
    <row r="43" spans="1:11" ht="15.75" x14ac:dyDescent="0.25">
      <c r="A43" s="6"/>
      <c r="E43" s="10"/>
      <c r="F43" s="6"/>
      <c r="G43" s="6"/>
      <c r="H43" s="96"/>
      <c r="K43" s="18" t="s">
        <v>7</v>
      </c>
    </row>
    <row r="44" spans="1:11" ht="15" customHeight="1" x14ac:dyDescent="0.25">
      <c r="D44" s="10"/>
      <c r="F44" s="10"/>
      <c r="G44" s="6"/>
      <c r="H44" s="96"/>
      <c r="I44" s="6"/>
      <c r="J44" s="6"/>
      <c r="K44" s="6"/>
    </row>
    <row r="45" spans="1:11" ht="15" customHeight="1" x14ac:dyDescent="0.25">
      <c r="F45" s="6"/>
      <c r="G45" s="6"/>
      <c r="H45" s="96"/>
      <c r="I45" s="6"/>
      <c r="J45" s="6"/>
      <c r="K45" s="6"/>
    </row>
    <row r="46" spans="1:11" ht="15" customHeight="1" x14ac:dyDescent="0.25">
      <c r="F46" s="6"/>
      <c r="G46" s="6"/>
      <c r="H46" s="96"/>
      <c r="I46" s="6"/>
      <c r="J46" s="6"/>
      <c r="K46" s="6"/>
    </row>
    <row r="47" spans="1:11" x14ac:dyDescent="0.25">
      <c r="E47" s="6"/>
      <c r="F47" s="6"/>
      <c r="G47" s="6"/>
      <c r="H47" s="96"/>
      <c r="I47" s="6"/>
      <c r="J47" s="6"/>
      <c r="K47" s="6"/>
    </row>
  </sheetData>
  <mergeCells count="83">
    <mergeCell ref="D20:F20"/>
    <mergeCell ref="J40:K40"/>
    <mergeCell ref="J39:K39"/>
    <mergeCell ref="E13:J15"/>
    <mergeCell ref="J20:K20"/>
    <mergeCell ref="J21:K21"/>
    <mergeCell ref="J35:K35"/>
    <mergeCell ref="J37:K37"/>
    <mergeCell ref="J38:K38"/>
    <mergeCell ref="J22:K22"/>
    <mergeCell ref="J23:K23"/>
    <mergeCell ref="J24:K24"/>
    <mergeCell ref="J25:K25"/>
    <mergeCell ref="J26:K26"/>
    <mergeCell ref="J27:K27"/>
    <mergeCell ref="J28:K28"/>
    <mergeCell ref="A2:E2"/>
    <mergeCell ref="G2:K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  <mergeCell ref="J34:K34"/>
    <mergeCell ref="D21:F21"/>
    <mergeCell ref="D22:F22"/>
    <mergeCell ref="D23:F23"/>
    <mergeCell ref="D24:F24"/>
    <mergeCell ref="D25:F25"/>
    <mergeCell ref="D33:F33"/>
    <mergeCell ref="D34:F34"/>
    <mergeCell ref="J29:K29"/>
    <mergeCell ref="J30:K30"/>
    <mergeCell ref="J31:K31"/>
    <mergeCell ref="J32:K32"/>
    <mergeCell ref="J33:K33"/>
    <mergeCell ref="D35:F35"/>
    <mergeCell ref="D26:F26"/>
    <mergeCell ref="D27:F27"/>
    <mergeCell ref="D28:F28"/>
    <mergeCell ref="D29:F29"/>
    <mergeCell ref="D30:F30"/>
    <mergeCell ref="D36:F36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D31:F31"/>
    <mergeCell ref="D32:F32"/>
    <mergeCell ref="H35:I35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</mergeCells>
  <printOptions horizontalCentered="1"/>
  <pageMargins left="0.39370078740157483" right="0.39370078740157483" top="0.78740157480314965" bottom="0.78740157480314965" header="0.31496062992125984" footer="0.31496062992125984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11</xdr:col>
                    <xdr:colOff>371475</xdr:colOff>
                    <xdr:row>8</xdr:row>
                    <xdr:rowOff>66675</xdr:rowOff>
                  </from>
                  <to>
                    <xdr:col>12</xdr:col>
                    <xdr:colOff>609600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11</xdr:col>
                    <xdr:colOff>381000</xdr:colOff>
                    <xdr:row>15</xdr:row>
                    <xdr:rowOff>76200</xdr:rowOff>
                  </from>
                  <to>
                    <xdr:col>12</xdr:col>
                    <xdr:colOff>619125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11</xdr:col>
                    <xdr:colOff>371475</xdr:colOff>
                    <xdr:row>19</xdr:row>
                    <xdr:rowOff>66675</xdr:rowOff>
                  </from>
                  <to>
                    <xdr:col>12</xdr:col>
                    <xdr:colOff>609600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11</xdr:col>
                    <xdr:colOff>390525</xdr:colOff>
                    <xdr:row>11</xdr:row>
                    <xdr:rowOff>114300</xdr:rowOff>
                  </from>
                  <to>
                    <xdr:col>12</xdr:col>
                    <xdr:colOff>600075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11</xdr:col>
                    <xdr:colOff>352425</xdr:colOff>
                    <xdr:row>23</xdr:row>
                    <xdr:rowOff>19050</xdr:rowOff>
                  </from>
                  <to>
                    <xdr:col>12</xdr:col>
                    <xdr:colOff>590550</xdr:colOff>
                    <xdr:row>25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FDD1AB-7B1F-4EC0-9506-D380110B9421}">
          <x14:formula1>
            <xm:f>'Customer Database'!$A$2:$A$1048576</xm:f>
          </x14:formula1>
          <xm:sqref>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36"/>
  <sheetViews>
    <sheetView topLeftCell="A9" workbookViewId="0">
      <selection activeCell="A2" sqref="A2"/>
    </sheetView>
  </sheetViews>
  <sheetFormatPr defaultRowHeight="15" x14ac:dyDescent="0.25"/>
  <cols>
    <col min="1" max="1" width="20.42578125" style="79" customWidth="1"/>
    <col min="2" max="2" width="15.42578125" style="79" bestFit="1" customWidth="1"/>
    <col min="3" max="3" width="30.42578125" customWidth="1"/>
    <col min="4" max="4" width="9.28515625" bestFit="1" customWidth="1"/>
    <col min="6" max="6" width="14.42578125" style="86" bestFit="1" customWidth="1"/>
    <col min="7" max="7" width="17" style="86" bestFit="1" customWidth="1"/>
  </cols>
  <sheetData>
    <row r="1" spans="1:8" x14ac:dyDescent="0.25">
      <c r="A1" s="58" t="s">
        <v>272</v>
      </c>
      <c r="B1" s="58" t="s">
        <v>269</v>
      </c>
      <c r="C1" s="58" t="s">
        <v>4</v>
      </c>
      <c r="D1" s="58" t="s">
        <v>67</v>
      </c>
      <c r="E1" s="58" t="s">
        <v>5</v>
      </c>
      <c r="F1" s="83" t="s">
        <v>270</v>
      </c>
      <c r="G1" s="83" t="s">
        <v>6</v>
      </c>
      <c r="H1" s="57" t="s">
        <v>62</v>
      </c>
    </row>
    <row r="2" spans="1:8" ht="30" x14ac:dyDescent="0.25">
      <c r="A2" s="80" t="s">
        <v>274</v>
      </c>
      <c r="B2" s="80" t="s">
        <v>103</v>
      </c>
      <c r="C2" s="80" t="s">
        <v>104</v>
      </c>
      <c r="D2" s="80" t="s">
        <v>80</v>
      </c>
      <c r="E2" s="80">
        <v>99</v>
      </c>
      <c r="F2" s="84">
        <v>139000</v>
      </c>
      <c r="G2" s="84">
        <v>13761000</v>
      </c>
      <c r="H2" s="80"/>
    </row>
    <row r="3" spans="1:8" ht="30" x14ac:dyDescent="0.25">
      <c r="A3" s="80" t="s">
        <v>275</v>
      </c>
      <c r="B3" s="80" t="s">
        <v>100</v>
      </c>
      <c r="C3" s="80" t="s">
        <v>101</v>
      </c>
      <c r="D3" s="80" t="s">
        <v>74</v>
      </c>
      <c r="E3" s="80">
        <v>88</v>
      </c>
      <c r="F3" s="84">
        <v>99000</v>
      </c>
      <c r="G3" s="84">
        <v>8712000</v>
      </c>
      <c r="H3" s="80"/>
    </row>
    <row r="4" spans="1:8" ht="30" x14ac:dyDescent="0.25">
      <c r="A4" s="80" t="s">
        <v>275</v>
      </c>
      <c r="B4" s="80" t="s">
        <v>95</v>
      </c>
      <c r="C4" s="80" t="s">
        <v>96</v>
      </c>
      <c r="D4" s="80" t="s">
        <v>74</v>
      </c>
      <c r="E4" s="80">
        <v>88</v>
      </c>
      <c r="F4" s="84">
        <v>549000</v>
      </c>
      <c r="G4" s="84">
        <v>48312000</v>
      </c>
      <c r="H4" s="80"/>
    </row>
    <row r="5" spans="1:8" ht="30" x14ac:dyDescent="0.25">
      <c r="A5" s="80" t="s">
        <v>275</v>
      </c>
      <c r="B5" s="80" t="s">
        <v>93</v>
      </c>
      <c r="C5" s="80" t="s">
        <v>94</v>
      </c>
      <c r="D5" s="80" t="s">
        <v>74</v>
      </c>
      <c r="E5" s="80">
        <v>8</v>
      </c>
      <c r="F5" s="84">
        <v>249000</v>
      </c>
      <c r="G5" s="84">
        <v>1992000</v>
      </c>
      <c r="H5" s="80"/>
    </row>
    <row r="6" spans="1:8" ht="30" x14ac:dyDescent="0.25">
      <c r="A6" s="80" t="s">
        <v>275</v>
      </c>
      <c r="B6" s="80" t="s">
        <v>90</v>
      </c>
      <c r="C6" s="80" t="s">
        <v>91</v>
      </c>
      <c r="D6" s="80" t="s">
        <v>74</v>
      </c>
      <c r="E6" s="80">
        <v>88</v>
      </c>
      <c r="F6" s="84">
        <v>299000</v>
      </c>
      <c r="G6" s="84">
        <v>26312000</v>
      </c>
      <c r="H6" s="80"/>
    </row>
    <row r="7" spans="1:8" ht="45" x14ac:dyDescent="0.25">
      <c r="A7" s="80" t="s">
        <v>277</v>
      </c>
      <c r="B7" s="80" t="s">
        <v>100</v>
      </c>
      <c r="C7" s="80" t="s">
        <v>101</v>
      </c>
      <c r="D7" s="80" t="s">
        <v>74</v>
      </c>
      <c r="E7" s="80">
        <v>11</v>
      </c>
      <c r="F7" s="84">
        <v>99000</v>
      </c>
      <c r="G7" s="84">
        <v>1089000</v>
      </c>
      <c r="H7" s="80"/>
    </row>
    <row r="8" spans="1:8" ht="45" x14ac:dyDescent="0.25">
      <c r="A8" s="80" t="s">
        <v>277</v>
      </c>
      <c r="B8" s="80" t="s">
        <v>103</v>
      </c>
      <c r="C8" s="80" t="s">
        <v>104</v>
      </c>
      <c r="D8" s="80" t="s">
        <v>80</v>
      </c>
      <c r="E8" s="80">
        <v>1</v>
      </c>
      <c r="F8" s="84">
        <v>139000</v>
      </c>
      <c r="G8" s="84">
        <v>139000</v>
      </c>
      <c r="H8" s="80"/>
    </row>
    <row r="9" spans="1:8" ht="45" x14ac:dyDescent="0.25">
      <c r="A9" s="80" t="s">
        <v>277</v>
      </c>
      <c r="B9" s="80" t="s">
        <v>100</v>
      </c>
      <c r="C9" s="80" t="s">
        <v>101</v>
      </c>
      <c r="D9" s="80" t="s">
        <v>74</v>
      </c>
      <c r="E9" s="80">
        <v>1</v>
      </c>
      <c r="F9" s="84">
        <v>99000</v>
      </c>
      <c r="G9" s="84">
        <v>99000</v>
      </c>
      <c r="H9" s="80"/>
    </row>
    <row r="10" spans="1:8" ht="45" x14ac:dyDescent="0.25">
      <c r="A10" s="80" t="s">
        <v>277</v>
      </c>
      <c r="B10" s="80" t="s">
        <v>88</v>
      </c>
      <c r="C10" s="80" t="s">
        <v>89</v>
      </c>
      <c r="D10" s="80" t="s">
        <v>74</v>
      </c>
      <c r="E10" s="80">
        <v>11</v>
      </c>
      <c r="F10" s="84">
        <v>169000</v>
      </c>
      <c r="G10" s="84">
        <v>1859000</v>
      </c>
      <c r="H10" s="80"/>
    </row>
    <row r="11" spans="1:8" ht="30" x14ac:dyDescent="0.25">
      <c r="A11" s="80" t="s">
        <v>279</v>
      </c>
      <c r="B11" s="80" t="s">
        <v>93</v>
      </c>
      <c r="C11" s="80" t="s">
        <v>94</v>
      </c>
      <c r="D11" s="80" t="s">
        <v>74</v>
      </c>
      <c r="E11" s="80">
        <v>222</v>
      </c>
      <c r="F11" s="84">
        <v>249000</v>
      </c>
      <c r="G11" s="84">
        <v>55278000</v>
      </c>
      <c r="H11" s="80"/>
    </row>
    <row r="12" spans="1:8" ht="30" x14ac:dyDescent="0.25">
      <c r="A12" s="80" t="s">
        <v>276</v>
      </c>
      <c r="B12" s="80" t="s">
        <v>95</v>
      </c>
      <c r="C12" s="80" t="s">
        <v>96</v>
      </c>
      <c r="D12" s="80" t="s">
        <v>74</v>
      </c>
      <c r="E12" s="80">
        <v>1</v>
      </c>
      <c r="F12" s="84">
        <v>549000</v>
      </c>
      <c r="G12" s="84">
        <v>549000</v>
      </c>
      <c r="H12" s="80"/>
    </row>
    <row r="13" spans="1:8" ht="30" x14ac:dyDescent="0.25">
      <c r="A13" s="80" t="s">
        <v>276</v>
      </c>
      <c r="B13" s="80" t="s">
        <v>100</v>
      </c>
      <c r="C13" s="80" t="s">
        <v>101</v>
      </c>
      <c r="D13" s="80" t="s">
        <v>74</v>
      </c>
      <c r="E13" s="80">
        <v>111</v>
      </c>
      <c r="F13" s="84">
        <v>99000</v>
      </c>
      <c r="G13" s="84">
        <v>10989000</v>
      </c>
      <c r="H13" s="80"/>
    </row>
    <row r="14" spans="1:8" ht="30" x14ac:dyDescent="0.25">
      <c r="A14" s="80" t="s">
        <v>276</v>
      </c>
      <c r="B14" s="80" t="s">
        <v>100</v>
      </c>
      <c r="C14" s="80" t="s">
        <v>101</v>
      </c>
      <c r="D14" s="80" t="s">
        <v>74</v>
      </c>
      <c r="E14" s="80">
        <v>23</v>
      </c>
      <c r="F14" s="84">
        <v>99000</v>
      </c>
      <c r="G14" s="84">
        <v>2277000</v>
      </c>
      <c r="H14" s="80"/>
    </row>
    <row r="15" spans="1:8" ht="30" x14ac:dyDescent="0.25">
      <c r="A15" s="80" t="s">
        <v>276</v>
      </c>
      <c r="B15" s="80" t="s">
        <v>95</v>
      </c>
      <c r="C15" s="80" t="s">
        <v>96</v>
      </c>
      <c r="D15" s="80" t="s">
        <v>74</v>
      </c>
      <c r="E15" s="80">
        <v>45</v>
      </c>
      <c r="F15" s="84">
        <v>549000</v>
      </c>
      <c r="G15" s="84">
        <v>24705000</v>
      </c>
      <c r="H15" s="80"/>
    </row>
    <row r="16" spans="1:8" ht="30" x14ac:dyDescent="0.25">
      <c r="A16" s="80" t="s">
        <v>276</v>
      </c>
      <c r="B16" s="80" t="s">
        <v>85</v>
      </c>
      <c r="C16" s="80" t="s">
        <v>86</v>
      </c>
      <c r="D16" s="80" t="s">
        <v>74</v>
      </c>
      <c r="E16" s="80">
        <v>33</v>
      </c>
      <c r="F16" s="84">
        <v>125000</v>
      </c>
      <c r="G16" s="84">
        <v>4125000</v>
      </c>
      <c r="H16" s="80"/>
    </row>
    <row r="17" spans="1:8" ht="30" x14ac:dyDescent="0.25">
      <c r="A17" s="80" t="s">
        <v>276</v>
      </c>
      <c r="B17" s="80" t="s">
        <v>95</v>
      </c>
      <c r="C17" s="80" t="s">
        <v>96</v>
      </c>
      <c r="D17" s="80" t="s">
        <v>74</v>
      </c>
      <c r="E17" s="80">
        <v>1</v>
      </c>
      <c r="F17" s="84">
        <v>549000</v>
      </c>
      <c r="G17" s="84">
        <v>549000</v>
      </c>
      <c r="H17" s="80"/>
    </row>
    <row r="18" spans="1:8" ht="30" x14ac:dyDescent="0.25">
      <c r="A18" s="80" t="s">
        <v>278</v>
      </c>
      <c r="B18" s="80" t="s">
        <v>93</v>
      </c>
      <c r="C18" s="80" t="s">
        <v>94</v>
      </c>
      <c r="D18" s="80" t="s">
        <v>74</v>
      </c>
      <c r="E18" s="80">
        <v>11</v>
      </c>
      <c r="F18" s="84">
        <v>249000</v>
      </c>
      <c r="G18" s="84">
        <v>2739000</v>
      </c>
      <c r="H18" s="80"/>
    </row>
    <row r="19" spans="1:8" ht="30" x14ac:dyDescent="0.25">
      <c r="A19" s="80" t="s">
        <v>278</v>
      </c>
      <c r="B19" s="80" t="s">
        <v>95</v>
      </c>
      <c r="C19" s="80" t="s">
        <v>96</v>
      </c>
      <c r="D19" s="80" t="s">
        <v>74</v>
      </c>
      <c r="E19" s="80">
        <v>2</v>
      </c>
      <c r="F19" s="84">
        <v>549000</v>
      </c>
      <c r="G19" s="84">
        <v>1098000</v>
      </c>
      <c r="H19" s="80"/>
    </row>
    <row r="20" spans="1:8" ht="30" x14ac:dyDescent="0.25">
      <c r="A20" s="80" t="s">
        <v>278</v>
      </c>
      <c r="B20" s="80" t="s">
        <v>85</v>
      </c>
      <c r="C20" s="80" t="s">
        <v>86</v>
      </c>
      <c r="D20" s="80" t="s">
        <v>74</v>
      </c>
      <c r="E20" s="80">
        <v>1</v>
      </c>
      <c r="F20" s="84">
        <v>125000</v>
      </c>
      <c r="G20" s="84">
        <v>125000</v>
      </c>
      <c r="H20" s="80"/>
    </row>
    <row r="21" spans="1:8" ht="30" x14ac:dyDescent="0.25">
      <c r="A21" s="80" t="s">
        <v>278</v>
      </c>
      <c r="B21" s="80" t="s">
        <v>98</v>
      </c>
      <c r="C21" s="80" t="s">
        <v>99</v>
      </c>
      <c r="D21" s="80" t="s">
        <v>74</v>
      </c>
      <c r="E21" s="80">
        <v>1</v>
      </c>
      <c r="F21" s="84">
        <v>449000</v>
      </c>
      <c r="G21" s="84">
        <v>449000</v>
      </c>
      <c r="H21" s="80"/>
    </row>
    <row r="22" spans="1:8" ht="45" x14ac:dyDescent="0.25">
      <c r="A22" s="80" t="s">
        <v>284</v>
      </c>
      <c r="B22" s="80" t="s">
        <v>77</v>
      </c>
      <c r="C22" s="80" t="s">
        <v>78</v>
      </c>
      <c r="D22" s="80" t="s">
        <v>80</v>
      </c>
      <c r="E22" s="80">
        <v>1</v>
      </c>
      <c r="F22" s="84">
        <v>189000</v>
      </c>
      <c r="G22" s="84">
        <v>189000</v>
      </c>
      <c r="H22" s="80"/>
    </row>
    <row r="23" spans="1:8" ht="45" x14ac:dyDescent="0.25">
      <c r="A23" s="80" t="s">
        <v>284</v>
      </c>
      <c r="B23" s="80" t="s">
        <v>81</v>
      </c>
      <c r="C23" s="80" t="s">
        <v>82</v>
      </c>
      <c r="D23" s="80" t="s">
        <v>74</v>
      </c>
      <c r="E23" s="80">
        <v>1</v>
      </c>
      <c r="F23" s="84">
        <v>129000</v>
      </c>
      <c r="G23" s="84">
        <v>129000</v>
      </c>
      <c r="H23" s="80"/>
    </row>
    <row r="24" spans="1:8" ht="45" x14ac:dyDescent="0.25">
      <c r="A24" s="80" t="s">
        <v>284</v>
      </c>
      <c r="B24" s="80" t="s">
        <v>83</v>
      </c>
      <c r="C24" s="80" t="s">
        <v>84</v>
      </c>
      <c r="D24" s="80" t="s">
        <v>74</v>
      </c>
      <c r="E24" s="80">
        <v>1</v>
      </c>
      <c r="F24" s="84">
        <v>159000</v>
      </c>
      <c r="G24" s="84">
        <v>159000</v>
      </c>
      <c r="H24" s="80"/>
    </row>
    <row r="25" spans="1:8" ht="45" x14ac:dyDescent="0.25">
      <c r="A25" s="80" t="s">
        <v>284</v>
      </c>
      <c r="B25" s="80" t="s">
        <v>85</v>
      </c>
      <c r="C25" s="80" t="s">
        <v>86</v>
      </c>
      <c r="D25" s="80" t="s">
        <v>74</v>
      </c>
      <c r="E25" s="80">
        <v>5</v>
      </c>
      <c r="F25" s="84">
        <v>125000</v>
      </c>
      <c r="G25" s="84">
        <v>625000</v>
      </c>
      <c r="H25" s="80"/>
    </row>
    <row r="26" spans="1:8" ht="30" x14ac:dyDescent="0.25">
      <c r="A26" s="80" t="s">
        <v>273</v>
      </c>
      <c r="B26" s="80" t="s">
        <v>77</v>
      </c>
      <c r="C26" s="80" t="s">
        <v>78</v>
      </c>
      <c r="D26" s="80" t="s">
        <v>80</v>
      </c>
      <c r="E26" s="80">
        <v>1</v>
      </c>
      <c r="F26" s="84">
        <v>189000</v>
      </c>
      <c r="G26" s="84">
        <v>189000</v>
      </c>
      <c r="H26" s="80"/>
    </row>
    <row r="27" spans="1:8" ht="30" x14ac:dyDescent="0.25">
      <c r="A27" s="80" t="s">
        <v>273</v>
      </c>
      <c r="B27" s="80" t="s">
        <v>81</v>
      </c>
      <c r="C27" s="80" t="s">
        <v>82</v>
      </c>
      <c r="D27" s="80" t="s">
        <v>74</v>
      </c>
      <c r="E27" s="80">
        <v>5</v>
      </c>
      <c r="F27" s="84">
        <v>129000</v>
      </c>
      <c r="G27" s="84">
        <v>645000</v>
      </c>
      <c r="H27" s="80"/>
    </row>
    <row r="28" spans="1:8" x14ac:dyDescent="0.25">
      <c r="A28" s="80"/>
      <c r="B28" s="80"/>
      <c r="C28" s="81"/>
      <c r="D28" s="81"/>
      <c r="E28" s="81"/>
      <c r="F28" s="85"/>
      <c r="G28" s="85"/>
      <c r="H28" s="81"/>
    </row>
    <row r="29" spans="1:8" x14ac:dyDescent="0.25">
      <c r="A29" s="82"/>
      <c r="B29" s="82"/>
      <c r="C29" s="81"/>
      <c r="D29" s="81"/>
      <c r="E29" s="81"/>
      <c r="F29" s="85"/>
      <c r="G29" s="85"/>
      <c r="H29" s="81"/>
    </row>
    <row r="30" spans="1:8" x14ac:dyDescent="0.25">
      <c r="A30" s="82"/>
      <c r="B30" s="82"/>
      <c r="C30" s="81"/>
      <c r="D30" s="81"/>
      <c r="E30" s="81"/>
      <c r="F30" s="85"/>
      <c r="G30" s="85"/>
      <c r="H30" s="81"/>
    </row>
    <row r="31" spans="1:8" x14ac:dyDescent="0.25">
      <c r="A31" s="82"/>
      <c r="B31" s="82"/>
      <c r="C31" s="81"/>
      <c r="D31" s="81"/>
      <c r="E31" s="81"/>
      <c r="F31" s="85"/>
      <c r="G31" s="85"/>
      <c r="H31" s="81"/>
    </row>
    <row r="32" spans="1:8" x14ac:dyDescent="0.25">
      <c r="A32" s="82"/>
      <c r="B32" s="82"/>
      <c r="C32" s="81"/>
      <c r="D32" s="81"/>
      <c r="E32" s="81"/>
      <c r="F32" s="85"/>
      <c r="G32" s="85"/>
      <c r="H32" s="81"/>
    </row>
    <row r="33" spans="1:8" x14ac:dyDescent="0.25">
      <c r="A33" s="82"/>
      <c r="B33" s="82"/>
      <c r="C33" s="81"/>
      <c r="D33" s="81"/>
      <c r="E33" s="81"/>
      <c r="F33" s="85"/>
      <c r="G33" s="85"/>
      <c r="H33" s="81"/>
    </row>
    <row r="34" spans="1:8" x14ac:dyDescent="0.25">
      <c r="A34" s="82"/>
      <c r="B34" s="82"/>
      <c r="C34" s="81"/>
      <c r="D34" s="81"/>
      <c r="E34" s="81"/>
      <c r="F34" s="85"/>
      <c r="G34" s="85"/>
      <c r="H34" s="81"/>
    </row>
    <row r="35" spans="1:8" x14ac:dyDescent="0.25">
      <c r="A35" s="82"/>
      <c r="B35" s="82"/>
      <c r="C35" s="81"/>
      <c r="D35" s="81"/>
      <c r="E35" s="81"/>
      <c r="F35" s="85"/>
      <c r="G35" s="85"/>
      <c r="H35" s="81"/>
    </row>
    <row r="36" spans="1:8" x14ac:dyDescent="0.25">
      <c r="A36" s="82"/>
      <c r="B36" s="82"/>
      <c r="C36" s="81"/>
      <c r="D36" s="81"/>
      <c r="E36" s="81"/>
      <c r="F36" s="85"/>
      <c r="G36" s="85"/>
      <c r="H36" s="8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D30" sqref="D30"/>
    </sheetView>
  </sheetViews>
  <sheetFormatPr defaultRowHeight="15" x14ac:dyDescent="0.2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 x14ac:dyDescent="0.25">
      <c r="A1" s="58" t="s">
        <v>64</v>
      </c>
      <c r="B1" s="58" t="s">
        <v>65</v>
      </c>
      <c r="C1" s="58" t="s">
        <v>66</v>
      </c>
      <c r="D1" s="58" t="s">
        <v>67</v>
      </c>
      <c r="E1" s="60" t="s">
        <v>68</v>
      </c>
      <c r="F1" s="60" t="s">
        <v>69</v>
      </c>
      <c r="G1" s="60" t="s">
        <v>70</v>
      </c>
    </row>
    <row r="2" spans="1:7" x14ac:dyDescent="0.25">
      <c r="A2" s="61" t="s">
        <v>71</v>
      </c>
      <c r="B2" s="61" t="s">
        <v>72</v>
      </c>
      <c r="C2" s="61" t="s">
        <v>73</v>
      </c>
      <c r="D2" s="61" t="s">
        <v>74</v>
      </c>
      <c r="E2" s="62">
        <v>85000</v>
      </c>
      <c r="F2" s="62">
        <v>149000</v>
      </c>
      <c r="G2" s="59">
        <v>45</v>
      </c>
    </row>
    <row r="3" spans="1:7" ht="30" x14ac:dyDescent="0.25">
      <c r="A3" s="61" t="s">
        <v>75</v>
      </c>
      <c r="B3" s="61" t="s">
        <v>76</v>
      </c>
      <c r="C3" s="61" t="s">
        <v>73</v>
      </c>
      <c r="D3" s="61" t="s">
        <v>74</v>
      </c>
      <c r="E3" s="62">
        <v>65000</v>
      </c>
      <c r="F3" s="62">
        <v>119000</v>
      </c>
      <c r="G3" s="59">
        <v>32</v>
      </c>
    </row>
    <row r="4" spans="1:7" x14ac:dyDescent="0.25">
      <c r="A4" s="61" t="s">
        <v>77</v>
      </c>
      <c r="B4" s="61" t="s">
        <v>78</v>
      </c>
      <c r="C4" s="61" t="s">
        <v>79</v>
      </c>
      <c r="D4" s="61" t="s">
        <v>80</v>
      </c>
      <c r="E4" s="62">
        <v>110000</v>
      </c>
      <c r="F4" s="62">
        <v>189000</v>
      </c>
      <c r="G4" s="59">
        <v>28</v>
      </c>
    </row>
    <row r="5" spans="1:7" x14ac:dyDescent="0.25">
      <c r="A5" s="61" t="s">
        <v>81</v>
      </c>
      <c r="B5" s="61" t="s">
        <v>82</v>
      </c>
      <c r="C5" s="61" t="s">
        <v>79</v>
      </c>
      <c r="D5" s="61" t="s">
        <v>74</v>
      </c>
      <c r="E5" s="62">
        <v>75000</v>
      </c>
      <c r="F5" s="62">
        <v>129000</v>
      </c>
      <c r="G5" s="59">
        <v>37</v>
      </c>
    </row>
    <row r="6" spans="1:7" x14ac:dyDescent="0.25">
      <c r="A6" s="61" t="s">
        <v>83</v>
      </c>
      <c r="B6" s="61" t="s">
        <v>84</v>
      </c>
      <c r="C6" s="61" t="s">
        <v>79</v>
      </c>
      <c r="D6" s="61" t="s">
        <v>74</v>
      </c>
      <c r="E6" s="62">
        <v>90000</v>
      </c>
      <c r="F6" s="62">
        <v>159000</v>
      </c>
      <c r="G6" s="59">
        <v>50</v>
      </c>
    </row>
    <row r="7" spans="1:7" x14ac:dyDescent="0.25">
      <c r="A7" s="61" t="s">
        <v>85</v>
      </c>
      <c r="B7" s="61" t="s">
        <v>86</v>
      </c>
      <c r="C7" s="61" t="s">
        <v>87</v>
      </c>
      <c r="D7" s="61" t="s">
        <v>74</v>
      </c>
      <c r="E7" s="62">
        <v>70000</v>
      </c>
      <c r="F7" s="62">
        <v>125000</v>
      </c>
      <c r="G7" s="59">
        <v>41</v>
      </c>
    </row>
    <row r="8" spans="1:7" x14ac:dyDescent="0.25">
      <c r="A8" s="61" t="s">
        <v>88</v>
      </c>
      <c r="B8" s="61" t="s">
        <v>89</v>
      </c>
      <c r="C8" s="61" t="s">
        <v>87</v>
      </c>
      <c r="D8" s="61" t="s">
        <v>74</v>
      </c>
      <c r="E8" s="62">
        <v>95000</v>
      </c>
      <c r="F8" s="62">
        <v>169000</v>
      </c>
      <c r="G8" s="59">
        <v>25</v>
      </c>
    </row>
    <row r="9" spans="1:7" x14ac:dyDescent="0.25">
      <c r="A9" s="61" t="s">
        <v>90</v>
      </c>
      <c r="B9" s="61" t="s">
        <v>91</v>
      </c>
      <c r="C9" s="61" t="s">
        <v>92</v>
      </c>
      <c r="D9" s="61" t="s">
        <v>74</v>
      </c>
      <c r="E9" s="62">
        <v>175000</v>
      </c>
      <c r="F9" s="62">
        <v>299000</v>
      </c>
      <c r="G9" s="59">
        <v>17</v>
      </c>
    </row>
    <row r="10" spans="1:7" x14ac:dyDescent="0.25">
      <c r="A10" s="61" t="s">
        <v>93</v>
      </c>
      <c r="B10" s="61" t="s">
        <v>94</v>
      </c>
      <c r="C10" s="61" t="s">
        <v>92</v>
      </c>
      <c r="D10" s="61" t="s">
        <v>74</v>
      </c>
      <c r="E10" s="62">
        <v>145000</v>
      </c>
      <c r="F10" s="62">
        <v>249000</v>
      </c>
      <c r="G10" s="59">
        <v>23</v>
      </c>
    </row>
    <row r="11" spans="1:7" x14ac:dyDescent="0.25">
      <c r="A11" s="61" t="s">
        <v>95</v>
      </c>
      <c r="B11" s="61" t="s">
        <v>96</v>
      </c>
      <c r="C11" s="61" t="s">
        <v>97</v>
      </c>
      <c r="D11" s="61" t="s">
        <v>74</v>
      </c>
      <c r="E11" s="62">
        <v>325000</v>
      </c>
      <c r="F11" s="62">
        <v>549000</v>
      </c>
      <c r="G11" s="59">
        <v>12</v>
      </c>
    </row>
    <row r="12" spans="1:7" x14ac:dyDescent="0.25">
      <c r="A12" s="61" t="s">
        <v>98</v>
      </c>
      <c r="B12" s="61" t="s">
        <v>99</v>
      </c>
      <c r="C12" s="61" t="s">
        <v>97</v>
      </c>
      <c r="D12" s="61" t="s">
        <v>74</v>
      </c>
      <c r="E12" s="62">
        <v>260000</v>
      </c>
      <c r="F12" s="62">
        <v>449000</v>
      </c>
      <c r="G12" s="59">
        <v>15</v>
      </c>
    </row>
    <row r="13" spans="1:7" x14ac:dyDescent="0.25">
      <c r="A13" s="61" t="s">
        <v>100</v>
      </c>
      <c r="B13" s="61" t="s">
        <v>101</v>
      </c>
      <c r="C13" s="61" t="s">
        <v>102</v>
      </c>
      <c r="D13" s="61" t="s">
        <v>74</v>
      </c>
      <c r="E13" s="62">
        <v>55000</v>
      </c>
      <c r="F13" s="62">
        <v>99000</v>
      </c>
      <c r="G13" s="59">
        <v>60</v>
      </c>
    </row>
    <row r="14" spans="1:7" x14ac:dyDescent="0.25">
      <c r="A14" s="61" t="s">
        <v>103</v>
      </c>
      <c r="B14" s="61" t="s">
        <v>104</v>
      </c>
      <c r="C14" s="61" t="s">
        <v>102</v>
      </c>
      <c r="D14" s="61" t="s">
        <v>80</v>
      </c>
      <c r="E14" s="62">
        <v>80000</v>
      </c>
      <c r="F14" s="62">
        <v>139000</v>
      </c>
      <c r="G14" s="59">
        <v>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C3D8-D144-4D76-A6D0-682AAA0797BC}">
  <sheetPr codeName="Sheet8"/>
  <dimension ref="A1:J3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6"/>
  <sheetViews>
    <sheetView workbookViewId="0">
      <selection activeCell="E33" sqref="E33"/>
    </sheetView>
  </sheetViews>
  <sheetFormatPr defaultRowHeight="15" x14ac:dyDescent="0.25"/>
  <cols>
    <col min="1" max="1" width="21.1406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 x14ac:dyDescent="0.25">
      <c r="A1" t="s">
        <v>31</v>
      </c>
      <c r="B1" t="s">
        <v>26</v>
      </c>
      <c r="C1" t="s">
        <v>27</v>
      </c>
      <c r="D1" t="s">
        <v>30</v>
      </c>
      <c r="E1" t="s">
        <v>28</v>
      </c>
      <c r="F1" t="s">
        <v>29</v>
      </c>
      <c r="G1" s="1" t="s">
        <v>14</v>
      </c>
      <c r="H1" t="s">
        <v>15</v>
      </c>
    </row>
    <row r="2" spans="1:8" x14ac:dyDescent="0.25">
      <c r="A2" t="s">
        <v>32</v>
      </c>
      <c r="B2" t="s">
        <v>34</v>
      </c>
      <c r="C2" t="s">
        <v>37</v>
      </c>
      <c r="D2" t="s">
        <v>35</v>
      </c>
      <c r="E2" t="s">
        <v>38</v>
      </c>
      <c r="F2" t="s">
        <v>36</v>
      </c>
      <c r="G2" s="1">
        <v>81278856758</v>
      </c>
      <c r="H2" s="21" t="s">
        <v>33</v>
      </c>
    </row>
    <row r="3" spans="1:8" x14ac:dyDescent="0.25">
      <c r="A3" t="s">
        <v>107</v>
      </c>
      <c r="B3" t="s">
        <v>108</v>
      </c>
      <c r="C3" t="s">
        <v>109</v>
      </c>
      <c r="D3" t="s">
        <v>110</v>
      </c>
      <c r="E3" t="s">
        <v>38</v>
      </c>
      <c r="F3" t="s">
        <v>111</v>
      </c>
      <c r="G3" s="1">
        <v>81234567001</v>
      </c>
      <c r="H3" t="s">
        <v>112</v>
      </c>
    </row>
    <row r="4" spans="1:8" x14ac:dyDescent="0.25">
      <c r="A4" t="s">
        <v>113</v>
      </c>
      <c r="B4" t="s">
        <v>114</v>
      </c>
      <c r="C4" t="s">
        <v>115</v>
      </c>
      <c r="D4" t="s">
        <v>116</v>
      </c>
      <c r="E4" t="s">
        <v>117</v>
      </c>
      <c r="F4" t="s">
        <v>118</v>
      </c>
      <c r="G4" s="1">
        <v>81234567002</v>
      </c>
      <c r="H4" t="s">
        <v>119</v>
      </c>
    </row>
    <row r="5" spans="1:8" x14ac:dyDescent="0.25">
      <c r="A5" t="s">
        <v>120</v>
      </c>
      <c r="B5" t="s">
        <v>121</v>
      </c>
      <c r="C5" t="s">
        <v>122</v>
      </c>
      <c r="D5" t="s">
        <v>123</v>
      </c>
      <c r="E5" t="s">
        <v>124</v>
      </c>
      <c r="F5" t="s">
        <v>125</v>
      </c>
      <c r="G5" s="1">
        <v>81234567003</v>
      </c>
      <c r="H5" t="s">
        <v>126</v>
      </c>
    </row>
    <row r="6" spans="1:8" x14ac:dyDescent="0.25">
      <c r="A6" t="s">
        <v>127</v>
      </c>
      <c r="B6" t="s">
        <v>128</v>
      </c>
      <c r="C6" t="s">
        <v>129</v>
      </c>
      <c r="D6" t="s">
        <v>130</v>
      </c>
      <c r="E6" t="s">
        <v>38</v>
      </c>
      <c r="F6" t="s">
        <v>131</v>
      </c>
      <c r="G6" s="1">
        <v>81234567004</v>
      </c>
      <c r="H6" t="s">
        <v>132</v>
      </c>
    </row>
    <row r="7" spans="1:8" x14ac:dyDescent="0.25">
      <c r="A7" t="s">
        <v>133</v>
      </c>
      <c r="B7" t="s">
        <v>134</v>
      </c>
      <c r="C7" t="s">
        <v>135</v>
      </c>
      <c r="D7" t="s">
        <v>136</v>
      </c>
      <c r="E7" t="s">
        <v>137</v>
      </c>
      <c r="F7" t="s">
        <v>138</v>
      </c>
      <c r="G7" s="1">
        <v>81234567005</v>
      </c>
      <c r="H7" t="s">
        <v>139</v>
      </c>
    </row>
    <row r="8" spans="1:8" x14ac:dyDescent="0.25">
      <c r="A8" t="s">
        <v>140</v>
      </c>
      <c r="B8" t="s">
        <v>141</v>
      </c>
      <c r="C8" t="s">
        <v>142</v>
      </c>
      <c r="D8" t="s">
        <v>143</v>
      </c>
      <c r="E8" t="s">
        <v>137</v>
      </c>
      <c r="F8" t="s">
        <v>144</v>
      </c>
      <c r="G8" s="1">
        <v>81234567006</v>
      </c>
      <c r="H8" t="s">
        <v>145</v>
      </c>
    </row>
    <row r="9" spans="1:8" x14ac:dyDescent="0.25">
      <c r="A9" t="s">
        <v>146</v>
      </c>
      <c r="B9" t="s">
        <v>147</v>
      </c>
      <c r="C9" t="s">
        <v>148</v>
      </c>
      <c r="D9" t="s">
        <v>149</v>
      </c>
      <c r="E9" t="s">
        <v>150</v>
      </c>
      <c r="F9" t="s">
        <v>151</v>
      </c>
      <c r="G9" s="1">
        <v>81234567007</v>
      </c>
      <c r="H9" t="s">
        <v>152</v>
      </c>
    </row>
    <row r="10" spans="1:8" x14ac:dyDescent="0.25">
      <c r="A10" t="s">
        <v>153</v>
      </c>
      <c r="B10" t="s">
        <v>154</v>
      </c>
      <c r="C10" t="s">
        <v>155</v>
      </c>
      <c r="D10" t="s">
        <v>156</v>
      </c>
      <c r="E10" t="s">
        <v>157</v>
      </c>
      <c r="F10" t="s">
        <v>158</v>
      </c>
      <c r="G10" s="1">
        <v>81234567008</v>
      </c>
      <c r="H10" t="s">
        <v>159</v>
      </c>
    </row>
    <row r="11" spans="1:8" x14ac:dyDescent="0.25">
      <c r="A11" t="s">
        <v>160</v>
      </c>
      <c r="B11" t="s">
        <v>161</v>
      </c>
      <c r="C11" t="s">
        <v>162</v>
      </c>
      <c r="D11" t="s">
        <v>163</v>
      </c>
      <c r="E11" t="s">
        <v>164</v>
      </c>
      <c r="F11" t="s">
        <v>165</v>
      </c>
      <c r="G11" s="1">
        <v>81234567009</v>
      </c>
      <c r="H11" t="s">
        <v>166</v>
      </c>
    </row>
    <row r="12" spans="1:8" x14ac:dyDescent="0.25">
      <c r="A12" t="s">
        <v>167</v>
      </c>
      <c r="B12" t="s">
        <v>168</v>
      </c>
      <c r="C12" t="s">
        <v>115</v>
      </c>
      <c r="D12" t="s">
        <v>169</v>
      </c>
      <c r="E12" t="s">
        <v>170</v>
      </c>
      <c r="F12" t="s">
        <v>171</v>
      </c>
      <c r="G12" s="1">
        <v>81234567010</v>
      </c>
      <c r="H12" t="s">
        <v>172</v>
      </c>
    </row>
    <row r="13" spans="1:8" x14ac:dyDescent="0.25">
      <c r="A13" t="s">
        <v>173</v>
      </c>
      <c r="B13" t="s">
        <v>174</v>
      </c>
      <c r="C13" t="s">
        <v>175</v>
      </c>
      <c r="D13" t="s">
        <v>176</v>
      </c>
      <c r="E13" t="s">
        <v>170</v>
      </c>
      <c r="F13" t="s">
        <v>177</v>
      </c>
      <c r="G13" s="1">
        <v>81234567011</v>
      </c>
      <c r="H13" t="s">
        <v>178</v>
      </c>
    </row>
    <row r="14" spans="1:8" x14ac:dyDescent="0.25">
      <c r="A14" t="s">
        <v>179</v>
      </c>
      <c r="B14" t="s">
        <v>180</v>
      </c>
      <c r="C14" t="s">
        <v>181</v>
      </c>
      <c r="D14" t="s">
        <v>182</v>
      </c>
      <c r="E14" t="s">
        <v>183</v>
      </c>
      <c r="F14" t="s">
        <v>184</v>
      </c>
      <c r="G14" s="1">
        <v>81234567012</v>
      </c>
      <c r="H14" t="s">
        <v>185</v>
      </c>
    </row>
    <row r="15" spans="1:8" x14ac:dyDescent="0.25">
      <c r="A15" t="s">
        <v>186</v>
      </c>
      <c r="B15" t="s">
        <v>187</v>
      </c>
      <c r="C15" t="s">
        <v>188</v>
      </c>
      <c r="D15" t="s">
        <v>189</v>
      </c>
      <c r="E15" t="s">
        <v>183</v>
      </c>
      <c r="F15" t="s">
        <v>190</v>
      </c>
      <c r="G15" s="1">
        <v>81234567013</v>
      </c>
      <c r="H15" t="s">
        <v>191</v>
      </c>
    </row>
    <row r="16" spans="1:8" x14ac:dyDescent="0.25">
      <c r="A16" t="s">
        <v>192</v>
      </c>
      <c r="B16" t="s">
        <v>193</v>
      </c>
      <c r="C16" t="s">
        <v>194</v>
      </c>
      <c r="D16" t="s">
        <v>195</v>
      </c>
      <c r="E16" t="s">
        <v>196</v>
      </c>
      <c r="F16" t="s">
        <v>197</v>
      </c>
      <c r="G16" s="1">
        <v>81234567014</v>
      </c>
      <c r="H16" t="s">
        <v>198</v>
      </c>
    </row>
    <row r="17" spans="1:8" x14ac:dyDescent="0.25">
      <c r="A17" t="s">
        <v>199</v>
      </c>
      <c r="B17" t="s">
        <v>200</v>
      </c>
      <c r="C17" t="s">
        <v>201</v>
      </c>
      <c r="D17" t="s">
        <v>202</v>
      </c>
      <c r="E17" t="s">
        <v>203</v>
      </c>
      <c r="F17" t="s">
        <v>204</v>
      </c>
      <c r="G17" s="1">
        <v>81234567015</v>
      </c>
      <c r="H17" t="s">
        <v>205</v>
      </c>
    </row>
    <row r="18" spans="1:8" x14ac:dyDescent="0.25">
      <c r="A18" t="s">
        <v>206</v>
      </c>
      <c r="B18" t="s">
        <v>207</v>
      </c>
      <c r="C18" t="s">
        <v>208</v>
      </c>
      <c r="D18" t="s">
        <v>209</v>
      </c>
      <c r="E18" t="s">
        <v>210</v>
      </c>
      <c r="F18" t="s">
        <v>211</v>
      </c>
      <c r="G18" s="1">
        <v>81234567016</v>
      </c>
      <c r="H18" t="s">
        <v>212</v>
      </c>
    </row>
    <row r="19" spans="1:8" x14ac:dyDescent="0.25">
      <c r="A19" t="s">
        <v>213</v>
      </c>
      <c r="B19" t="s">
        <v>214</v>
      </c>
      <c r="C19" t="s">
        <v>215</v>
      </c>
      <c r="D19" t="s">
        <v>216</v>
      </c>
      <c r="E19" t="s">
        <v>217</v>
      </c>
      <c r="F19" t="s">
        <v>218</v>
      </c>
      <c r="G19" s="1">
        <v>81234567017</v>
      </c>
      <c r="H19" t="s">
        <v>219</v>
      </c>
    </row>
    <row r="20" spans="1:8" x14ac:dyDescent="0.25">
      <c r="A20" t="s">
        <v>220</v>
      </c>
      <c r="B20" t="s">
        <v>221</v>
      </c>
      <c r="C20" t="s">
        <v>222</v>
      </c>
      <c r="D20" t="s">
        <v>223</v>
      </c>
      <c r="E20" t="s">
        <v>224</v>
      </c>
      <c r="F20" t="s">
        <v>225</v>
      </c>
      <c r="G20" s="1">
        <v>81234567018</v>
      </c>
      <c r="H20" t="s">
        <v>226</v>
      </c>
    </row>
    <row r="21" spans="1:8" x14ac:dyDescent="0.25">
      <c r="A21" t="s">
        <v>227</v>
      </c>
      <c r="B21" t="s">
        <v>228</v>
      </c>
      <c r="C21" t="s">
        <v>229</v>
      </c>
      <c r="D21" t="s">
        <v>230</v>
      </c>
      <c r="E21" t="s">
        <v>231</v>
      </c>
      <c r="F21" t="s">
        <v>232</v>
      </c>
      <c r="G21" s="1">
        <v>81234567019</v>
      </c>
      <c r="H21" t="s">
        <v>233</v>
      </c>
    </row>
    <row r="22" spans="1:8" x14ac:dyDescent="0.25">
      <c r="A22" t="s">
        <v>234</v>
      </c>
      <c r="B22" t="s">
        <v>235</v>
      </c>
      <c r="C22" t="s">
        <v>236</v>
      </c>
      <c r="D22" t="s">
        <v>237</v>
      </c>
      <c r="E22" t="s">
        <v>238</v>
      </c>
      <c r="F22" t="s">
        <v>239</v>
      </c>
      <c r="G22" s="1">
        <v>81234567020</v>
      </c>
      <c r="H22" t="s">
        <v>240</v>
      </c>
    </row>
    <row r="23" spans="1:8" x14ac:dyDescent="0.25">
      <c r="A23" t="s">
        <v>241</v>
      </c>
      <c r="B23" t="s">
        <v>242</v>
      </c>
      <c r="C23" t="s">
        <v>243</v>
      </c>
      <c r="D23" t="s">
        <v>244</v>
      </c>
      <c r="E23" t="s">
        <v>245</v>
      </c>
      <c r="F23" t="s">
        <v>246</v>
      </c>
      <c r="G23" s="1">
        <v>81234567021</v>
      </c>
      <c r="H23" t="s">
        <v>247</v>
      </c>
    </row>
    <row r="24" spans="1:8" x14ac:dyDescent="0.25">
      <c r="A24" t="s">
        <v>248</v>
      </c>
      <c r="B24" t="s">
        <v>249</v>
      </c>
      <c r="C24" t="s">
        <v>250</v>
      </c>
      <c r="D24" t="s">
        <v>251</v>
      </c>
      <c r="E24" t="s">
        <v>252</v>
      </c>
      <c r="F24" t="s">
        <v>253</v>
      </c>
      <c r="G24" s="1">
        <v>81234567022</v>
      </c>
      <c r="H24" t="s">
        <v>254</v>
      </c>
    </row>
    <row r="25" spans="1:8" x14ac:dyDescent="0.25">
      <c r="A25" t="s">
        <v>255</v>
      </c>
      <c r="B25" t="s">
        <v>256</v>
      </c>
      <c r="C25" t="s">
        <v>257</v>
      </c>
      <c r="D25" t="s">
        <v>258</v>
      </c>
      <c r="E25" t="s">
        <v>259</v>
      </c>
      <c r="F25" t="s">
        <v>260</v>
      </c>
      <c r="G25" s="1">
        <v>81234567023</v>
      </c>
      <c r="H25" t="s">
        <v>261</v>
      </c>
    </row>
    <row r="26" spans="1:8" x14ac:dyDescent="0.25">
      <c r="A26" t="s">
        <v>262</v>
      </c>
      <c r="B26" t="s">
        <v>263</v>
      </c>
      <c r="C26" t="s">
        <v>264</v>
      </c>
      <c r="D26" t="s">
        <v>265</v>
      </c>
      <c r="E26" t="s">
        <v>266</v>
      </c>
      <c r="F26" t="s">
        <v>267</v>
      </c>
      <c r="G26" s="1">
        <v>81234567024</v>
      </c>
      <c r="H26" t="s">
        <v>268</v>
      </c>
    </row>
  </sheetData>
  <phoneticPr fontId="11" type="noConversion"/>
  <hyperlinks>
    <hyperlink ref="H2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Dashboard</vt:lpstr>
      <vt:lpstr>Manage Invoice</vt:lpstr>
      <vt:lpstr>Create Invoice</vt:lpstr>
      <vt:lpstr>Invoice Database</vt:lpstr>
      <vt:lpstr>Invoice Template</vt:lpstr>
      <vt:lpstr>Invoice Details</vt:lpstr>
      <vt:lpstr>Product Database</vt:lpstr>
      <vt:lpstr>Manage Product</vt:lpstr>
      <vt:lpstr>Manage Customer</vt:lpstr>
      <vt:lpstr>Customer Database</vt:lpstr>
      <vt:lpstr>Dashboard!cust_name</vt:lpstr>
      <vt:lpstr>'Manage Invoice'!cust_name</vt:lpstr>
      <vt:lpstr>cust_name</vt:lpstr>
      <vt:lpstr>'Invoice Template'!Print_Area</vt:lpstr>
      <vt:lpstr>selectedCust</vt:lpstr>
      <vt:lpstr>SelectedInvoice</vt:lpstr>
      <vt:lpstr>'Manage Invoice'!tes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2026-09-10T04:15:45Z</cp:lastPrinted>
  <dcterms:created xsi:type="dcterms:W3CDTF">2026-08-23T04:04:34Z</dcterms:created>
  <dcterms:modified xsi:type="dcterms:W3CDTF">2026-09-10T04:18:06Z</dcterms:modified>
</cp:coreProperties>
</file>