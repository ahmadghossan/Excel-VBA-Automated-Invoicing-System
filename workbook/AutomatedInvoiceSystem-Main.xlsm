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mad\Documents\Aku\Project\Excel-VBA-Automated-Invoicing-System\workbook\"/>
    </mc:Choice>
  </mc:AlternateContent>
  <xr:revisionPtr revIDLastSave="0" documentId="13_ncr:1_{BB6462B6-AF6B-48B1-B12D-058A4C75AFAF}" xr6:coauthVersionLast="47" xr6:coauthVersionMax="47" xr10:uidLastSave="{00000000-0000-0000-0000-000000000000}"/>
  <bookViews>
    <workbookView xWindow="-120" yWindow="-120" windowWidth="29040" windowHeight="15720" firstSheet="1" activeTab="1" xr2:uid="{017F8815-80FA-4AD7-93B9-87DA21A4F4D4}"/>
  </bookViews>
  <sheets>
    <sheet name="Dashboard" sheetId="9" r:id="rId1"/>
    <sheet name="Create Invoice" sheetId="10" r:id="rId2"/>
    <sheet name="Invoice Database" sheetId="3" r:id="rId3"/>
    <sheet name="Invoice Details" sheetId="11" r:id="rId4"/>
    <sheet name="Invoice Template" sheetId="1" r:id="rId5"/>
    <sheet name="Product Database" sheetId="4" r:id="rId6"/>
    <sheet name="Manage Customer" sheetId="7" r:id="rId7"/>
    <sheet name="Manage Product" sheetId="8" r:id="rId8"/>
    <sheet name="Customer Database" sheetId="2" r:id="rId9"/>
  </sheets>
  <functionGroups builtInGroupCount="19"/>
  <definedNames>
    <definedName name="cust_name" localSheetId="0">CustomerList[Customer Company]</definedName>
    <definedName name="cust_name">CustomerList[Customer Company]</definedName>
    <definedName name="_xlnm.Print_Area" localSheetId="4">'Invoice Template'!$A$1:$J$48</definedName>
    <definedName name="selectedCust">'Create Invoice'!$K$16</definedName>
    <definedName name="SelectedInvoice">'Create Invoice'!$J$6</definedName>
    <definedName name="tes">CustomerList[Customer Company]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34" i="10" l="1"/>
  <c r="U34" i="10" s="1"/>
  <c r="R35" i="10"/>
  <c r="U35" i="10" s="1"/>
  <c r="R36" i="10"/>
  <c r="U36" i="10" s="1"/>
  <c r="R37" i="10"/>
  <c r="U37" i="10" s="1"/>
  <c r="R38" i="10"/>
  <c r="U38" i="10" s="1"/>
  <c r="R39" i="10"/>
  <c r="U39" i="10" s="1"/>
  <c r="R40" i="10"/>
  <c r="U40" i="10" s="1"/>
  <c r="R41" i="10"/>
  <c r="U41" i="10" s="1"/>
  <c r="R42" i="10"/>
  <c r="U42" i="10" s="1"/>
  <c r="R43" i="10"/>
  <c r="U43" i="10" s="1"/>
  <c r="R44" i="10"/>
  <c r="U44" i="10" s="1"/>
  <c r="R45" i="10"/>
  <c r="U45" i="10" s="1"/>
  <c r="N34" i="10"/>
  <c r="N35" i="10"/>
  <c r="N36" i="10"/>
  <c r="N37" i="10"/>
  <c r="N38" i="10"/>
  <c r="N39" i="10"/>
  <c r="N40" i="10"/>
  <c r="N41" i="10"/>
  <c r="N42" i="10"/>
  <c r="N43" i="10"/>
  <c r="N44" i="10"/>
  <c r="N45" i="10"/>
  <c r="K45" i="10"/>
  <c r="K34" i="10"/>
  <c r="K35" i="10"/>
  <c r="K36" i="10"/>
  <c r="K37" i="10"/>
  <c r="K38" i="10"/>
  <c r="K39" i="10"/>
  <c r="K40" i="10"/>
  <c r="K41" i="10"/>
  <c r="K42" i="10"/>
  <c r="K43" i="10"/>
  <c r="K44" i="10"/>
  <c r="R33" i="10"/>
  <c r="U33" i="10" s="1"/>
  <c r="N33" i="10"/>
  <c r="K33" i="10"/>
  <c r="G38" i="10"/>
  <c r="G39" i="10"/>
  <c r="G40" i="10"/>
  <c r="G41" i="10"/>
  <c r="G42" i="10"/>
  <c r="G43" i="10"/>
  <c r="G44" i="10"/>
  <c r="G45" i="10"/>
  <c r="G34" i="10"/>
  <c r="G35" i="10" s="1"/>
  <c r="G36" i="10" s="1"/>
  <c r="G37" i="10" s="1"/>
  <c r="T26" i="10"/>
  <c r="T25" i="10"/>
  <c r="T19" i="10"/>
  <c r="T18" i="10"/>
  <c r="I35" i="1"/>
  <c r="I21" i="1"/>
  <c r="U48" i="10" l="1"/>
  <c r="E17" i="1"/>
  <c r="E16" i="1"/>
  <c r="E13" i="1"/>
  <c r="I37" i="1"/>
  <c r="I38" i="1" s="1"/>
  <c r="I39" i="1" s="1"/>
  <c r="U49" i="10" l="1"/>
  <c r="U50" i="10" s="1"/>
  <c r="U51" i="10" s="1"/>
  <c r="I40" i="1"/>
</calcChain>
</file>

<file path=xl/sharedStrings.xml><?xml version="1.0" encoding="utf-8"?>
<sst xmlns="http://schemas.openxmlformats.org/spreadsheetml/2006/main" count="421" uniqueCount="286">
  <si>
    <t>INVOICE</t>
  </si>
  <si>
    <t>Invoice No.</t>
  </si>
  <si>
    <t>Invoice Date</t>
  </si>
  <si>
    <t>BILL TO</t>
  </si>
  <si>
    <t>No</t>
  </si>
  <si>
    <t>Description</t>
  </si>
  <si>
    <t>Qty</t>
  </si>
  <si>
    <t>Unit Price</t>
  </si>
  <si>
    <t>Amount</t>
  </si>
  <si>
    <t/>
  </si>
  <si>
    <t>Subtotal</t>
  </si>
  <si>
    <t>TOTAL</t>
  </si>
  <si>
    <t>PAYMENT INFORMATION</t>
  </si>
  <si>
    <t>Po No.</t>
  </si>
  <si>
    <t>PT SOLUSI ABADI</t>
  </si>
  <si>
    <t>:</t>
  </si>
  <si>
    <t>Address</t>
  </si>
  <si>
    <t>Phone</t>
  </si>
  <si>
    <t>Email</t>
  </si>
  <si>
    <t>Company</t>
  </si>
  <si>
    <t>123 Business Park, Suite 500. Jakarta, Indonesia.</t>
  </si>
  <si>
    <t>+62 21 1234 5678</t>
  </si>
  <si>
    <t>info@ptsolusiabadi.com</t>
  </si>
  <si>
    <t>Bank</t>
  </si>
  <si>
    <t>Bank Central Asia (BCA)</t>
  </si>
  <si>
    <t>PT Solusi Abadi</t>
  </si>
  <si>
    <t>123 567 8890</t>
  </si>
  <si>
    <t>Account Name Number:</t>
  </si>
  <si>
    <t>Account Number</t>
  </si>
  <si>
    <t>Adress 1</t>
  </si>
  <si>
    <t>Adress 2</t>
  </si>
  <si>
    <t>Adress 4</t>
  </si>
  <si>
    <t>Adress 5</t>
  </si>
  <si>
    <t>Adress 3</t>
  </si>
  <si>
    <t>Customer Company</t>
  </si>
  <si>
    <t>PT XYZ</t>
  </si>
  <si>
    <t>xyzinfo@xyz.com</t>
  </si>
  <si>
    <t>Gedung Wisma XYZ Lt. 5 Unit 502</t>
  </si>
  <si>
    <t>RT 002/RW 005, Kel. Senayan, Kec. Kebayoran Baru</t>
  </si>
  <si>
    <t>12190, Indonesia</t>
  </si>
  <si>
    <t>Jl. Jend. Sudirman Kav. 45-46</t>
  </si>
  <si>
    <t>Jakarta Selatan, DKI Jakarta</t>
  </si>
  <si>
    <t>DPP</t>
  </si>
  <si>
    <t>PPN</t>
  </si>
  <si>
    <t>Date Issued</t>
  </si>
  <si>
    <t xml:space="preserve">Date Due </t>
  </si>
  <si>
    <t>Invoice PDF</t>
  </si>
  <si>
    <t>Invoice xl File</t>
  </si>
  <si>
    <t>Invoice Emailed</t>
  </si>
  <si>
    <t>Customer</t>
  </si>
  <si>
    <t>Term</t>
  </si>
  <si>
    <t>Status</t>
  </si>
  <si>
    <t>INVOICE DETAIL</t>
  </si>
  <si>
    <t>ITEM DETAILS</t>
  </si>
  <si>
    <t>No.</t>
  </si>
  <si>
    <t>Client/Customer :</t>
  </si>
  <si>
    <t>Unpaid</t>
  </si>
  <si>
    <t>Invoice Number:</t>
  </si>
  <si>
    <t>Purchase Order Number:</t>
  </si>
  <si>
    <t>Invoice Date:</t>
  </si>
  <si>
    <t>Payment Term:</t>
  </si>
  <si>
    <t>Company:</t>
  </si>
  <si>
    <t>Address:</t>
  </si>
  <si>
    <t>Phone:</t>
  </si>
  <si>
    <t>Email:</t>
  </si>
  <si>
    <t>Selected Invoice:</t>
  </si>
  <si>
    <t>Column1</t>
  </si>
  <si>
    <t>Invoice Name</t>
  </si>
  <si>
    <t>SKU</t>
  </si>
  <si>
    <t>Product Name</t>
  </si>
  <si>
    <t>Category</t>
  </si>
  <si>
    <t>Unit</t>
  </si>
  <si>
    <t>Cost Price</t>
  </si>
  <si>
    <t>Selling Price</t>
  </si>
  <si>
    <t>Stock</t>
  </si>
  <si>
    <t>DEC001</t>
  </si>
  <si>
    <t>Ceramic Vase - White</t>
  </si>
  <si>
    <t>Home Décor</t>
  </si>
  <si>
    <t>Pcs</t>
  </si>
  <si>
    <t>DEC002</t>
  </si>
  <si>
    <t>Decorative Cushion - Beige</t>
  </si>
  <si>
    <t>KIT001</t>
  </si>
  <si>
    <t>Glass Food Container Set</t>
  </si>
  <si>
    <t>Kitchenware</t>
  </si>
  <si>
    <t>Set</t>
  </si>
  <si>
    <t>KIT002</t>
  </si>
  <si>
    <t>Wooden Cutting Board</t>
  </si>
  <si>
    <t>KIT003</t>
  </si>
  <si>
    <t>Stainless Water Bottle</t>
  </si>
  <si>
    <t>STO001</t>
  </si>
  <si>
    <t>Foldable Storage Box</t>
  </si>
  <si>
    <t>Storage</t>
  </si>
  <si>
    <t>STO002</t>
  </si>
  <si>
    <t>Bamboo Organizer</t>
  </si>
  <si>
    <t>LGT001</t>
  </si>
  <si>
    <t>Minimalist Table Lamp</t>
  </si>
  <si>
    <t>Lighting</t>
  </si>
  <si>
    <t>LGT002</t>
  </si>
  <si>
    <t>LED Desk Lamp</t>
  </si>
  <si>
    <t>FUR001</t>
  </si>
  <si>
    <t>Wooden Side Table</t>
  </si>
  <si>
    <t>Furniture</t>
  </si>
  <si>
    <t>FUR002</t>
  </si>
  <si>
    <t>Minimalist Stool</t>
  </si>
  <si>
    <t>ACC001</t>
  </si>
  <si>
    <t>Canvas Tote Bag</t>
  </si>
  <si>
    <t>Accessories</t>
  </si>
  <si>
    <t>ACC002</t>
  </si>
  <si>
    <t>Travel Pouch Set</t>
  </si>
  <si>
    <t>Price/Unit</t>
  </si>
  <si>
    <t>Total</t>
  </si>
  <si>
    <t>Note:</t>
  </si>
  <si>
    <t>PT Arunika Retail Indonesia</t>
  </si>
  <si>
    <t>Menara Arunika Lt. 8</t>
  </si>
  <si>
    <t>Jl. HR Rasuna Said Kav. C-11</t>
  </si>
  <si>
    <t>RT 006/RW 004, Kel. Karet Kuningan, Kec. Setiabudi</t>
  </si>
  <si>
    <t>12940, Indonesia</t>
  </si>
  <si>
    <t>finance@arunikaretail.co.id</t>
  </si>
  <si>
    <t>PT Nusantara Mart Sejahtera</t>
  </si>
  <si>
    <t>Ruko Sentra Niaga Blok B2 No. 7</t>
  </si>
  <si>
    <t>Jl. Boulevard Raya</t>
  </si>
  <si>
    <t>Kel. Kelapa Gading Timur, Kec. Kelapa Gading</t>
  </si>
  <si>
    <t>Jakarta Utara, DKI Jakarta</t>
  </si>
  <si>
    <t>14240, Indonesia</t>
  </si>
  <si>
    <t>ap@nusantaramart.co.id</t>
  </si>
  <si>
    <t>PT Sinar Karya Abadi</t>
  </si>
  <si>
    <t>Graha Sinar Lt. 3</t>
  </si>
  <si>
    <t>Jl. Tomang Raya No. 25</t>
  </si>
  <si>
    <t>RT 004/RW 007, Kel. Tomang, Kec. Grogol Petamburan</t>
  </si>
  <si>
    <t>Jakarta Barat, DKI Jakarta</t>
  </si>
  <si>
    <t>11440, Indonesia</t>
  </si>
  <si>
    <t>accounting@sinarkarya.co.id</t>
  </si>
  <si>
    <t>PT Citra Home Living</t>
  </si>
  <si>
    <t>Rukan Permata Senayan Blok E1</t>
  </si>
  <si>
    <t>Jl. Tentara Pelajar</t>
  </si>
  <si>
    <t>Kel. Grogol Utara, Kec. Kebayoran Lama</t>
  </si>
  <si>
    <t>12210, Indonesia</t>
  </si>
  <si>
    <t>finance@citraliving.co.id</t>
  </si>
  <si>
    <t>PT Prima Retail Bandung</t>
  </si>
  <si>
    <t>Gedung Prima Center Lt. 4</t>
  </si>
  <si>
    <t>Jl. Asia Afrika No. 118</t>
  </si>
  <si>
    <t>Kel. Paledang, Kec. Lengkong</t>
  </si>
  <si>
    <t>Bandung, Jawa Barat</t>
  </si>
  <si>
    <t>40261, Indonesia</t>
  </si>
  <si>
    <t>finance@primaretail.co.id</t>
  </si>
  <si>
    <t>PT Pusaka Niaga Mandiri</t>
  </si>
  <si>
    <t>Komplek Ruko Paskal Hyper Square A-12</t>
  </si>
  <si>
    <t>Jl. Pasirkaliki No. 25</t>
  </si>
  <si>
    <t>Kel. Kebon Jeruk, Kec. Andir</t>
  </si>
  <si>
    <t>40181, Indonesia</t>
  </si>
  <si>
    <t>ap@pusakaniaga.co.id</t>
  </si>
  <si>
    <t>PT Sentra Belanja Jaya</t>
  </si>
  <si>
    <t>Ruko Emerald Commercial Blok C3</t>
  </si>
  <si>
    <t>Jl. Boulevard Bintaro Jaya</t>
  </si>
  <si>
    <t>Kel. Parigi, Kec. Pondok Aren</t>
  </si>
  <si>
    <t>Tangerang Selatan, Banten</t>
  </si>
  <si>
    <t>15227, Indonesia</t>
  </si>
  <si>
    <t>finance@sentrabelanja.co.id</t>
  </si>
  <si>
    <t>PT Karya Mitra Retail</t>
  </si>
  <si>
    <t>Ruko Paramount Center Blok A No. 15</t>
  </si>
  <si>
    <t>Jl. Boulevard Gading Serpong</t>
  </si>
  <si>
    <t>Kel. Curug Sangereng, Kec. Kelapa Dua</t>
  </si>
  <si>
    <t>Tangerang, Banten</t>
  </si>
  <si>
    <t>15810, Indonesia</t>
  </si>
  <si>
    <t>accounting@karyamitra.co.id</t>
  </si>
  <si>
    <t>PT Urban House Indonesia</t>
  </si>
  <si>
    <t>Menara Urban Lt. 10</t>
  </si>
  <si>
    <t>Jl. MH Thamrin No. 12</t>
  </si>
  <si>
    <t>Kel. Kebon Sirih, Kec. Menteng</t>
  </si>
  <si>
    <t>Jakarta Pusat, DKI Jakarta</t>
  </si>
  <si>
    <t>10340, Indonesia</t>
  </si>
  <si>
    <t>finance@urbanhouse.co.id</t>
  </si>
  <si>
    <t>PT Lestari Lifestyle Retail</t>
  </si>
  <si>
    <t>Ruko Galaxy Niaga Blok H No. 8</t>
  </si>
  <si>
    <t>Kel. Jakasetia, Kec. Bekasi Selatan</t>
  </si>
  <si>
    <t>Bekasi, Jawa Barat</t>
  </si>
  <si>
    <t>17147, Indonesia</t>
  </si>
  <si>
    <t>ap@lestarilifestyle.co.id</t>
  </si>
  <si>
    <t>PT Metro Perkasa Retail</t>
  </si>
  <si>
    <t>Komplek Summarecon Bekasi Blok B No. 21</t>
  </si>
  <si>
    <t>Jl. Bulevar Ahmad Yani</t>
  </si>
  <si>
    <t>Kel. Marga Mulya, Kec. Bekasi Utara</t>
  </si>
  <si>
    <t>17142, Indonesia</t>
  </si>
  <si>
    <t>finance@metroperkasa.co.id</t>
  </si>
  <si>
    <t>PT Surya Niaga Surabaya</t>
  </si>
  <si>
    <t>Graha Surya Lt. 6</t>
  </si>
  <si>
    <t>Jl. Basuki Rahmat No. 88</t>
  </si>
  <si>
    <t>Kel. Embong Kaliasin, Kec. Genteng</t>
  </si>
  <si>
    <t>Surabaya, Jawa Timur</t>
  </si>
  <si>
    <t>60271, Indonesia</t>
  </si>
  <si>
    <t>finance@suryaniaga.co.id</t>
  </si>
  <si>
    <t>PT Bintang Retail Nusantara</t>
  </si>
  <si>
    <t>Ruko Darmo Square Blok D No. 5</t>
  </si>
  <si>
    <t>Jl. Raya Darmo</t>
  </si>
  <si>
    <t>Kel. Wonokromo, Kec. Wonokromo</t>
  </si>
  <si>
    <t>60241, Indonesia</t>
  </si>
  <si>
    <t>ap@bintangretail.co.id</t>
  </si>
  <si>
    <t>PT Harmoni Store Indonesia</t>
  </si>
  <si>
    <t>Ruko Pemuda Square No. 11</t>
  </si>
  <si>
    <t>Jl. Pemuda</t>
  </si>
  <si>
    <t>Kel. Sekayu, Kec. Semarang Tengah</t>
  </si>
  <si>
    <t>Semarang, Jawa Tengah</t>
  </si>
  <si>
    <t>50132, Indonesia</t>
  </si>
  <si>
    <t>finance@harmonistore.co.id</t>
  </si>
  <si>
    <t>PT Jogja Retail Makmur</t>
  </si>
  <si>
    <t>Ruko Malioboro Center Blok A No. 9</t>
  </si>
  <si>
    <t>Jl. Malioboro</t>
  </si>
  <si>
    <t>Kel. Sosromenduran, Kec. Gedong Tengen</t>
  </si>
  <si>
    <t>Yogyakarta, DI Yogyakarta</t>
  </si>
  <si>
    <t>55271, Indonesia</t>
  </si>
  <si>
    <t>accounting@jogjaretail.co.id</t>
  </si>
  <si>
    <t>PT Bali Lifestyle Market</t>
  </si>
  <si>
    <t>Ruko Sunset Point Blok B No. 3</t>
  </si>
  <si>
    <t>Jl. Sunset Road</t>
  </si>
  <si>
    <t>Kel. Seminyak, Kec. Kuta</t>
  </si>
  <si>
    <t>Badung, Bali</t>
  </si>
  <si>
    <t>80361, Indonesia</t>
  </si>
  <si>
    <t>finance@balilifestyle.co.id</t>
  </si>
  <si>
    <t>PT Makassar Retail Utama</t>
  </si>
  <si>
    <t>Ruko Panakkukang Square No. 18</t>
  </si>
  <si>
    <t>Jl. Boulevard</t>
  </si>
  <si>
    <t>Kel. Masale, Kec. Panakkukang</t>
  </si>
  <si>
    <t>Makassar, Sulawesi Selatan</t>
  </si>
  <si>
    <t>90231, Indonesia</t>
  </si>
  <si>
    <t>finance@makassarretail.co.id</t>
  </si>
  <si>
    <t>PT Medan Niaga Sentosa</t>
  </si>
  <si>
    <t>Komplek Cambridge City Square Blok C No. 6</t>
  </si>
  <si>
    <t>Jl. S. Parman</t>
  </si>
  <si>
    <t>Kel. Petisah Tengah, Kec. Medan Petisah</t>
  </si>
  <si>
    <t>Medan, Sumatera Utara</t>
  </si>
  <si>
    <t>20112, Indonesia</t>
  </si>
  <si>
    <t>ap@medanniaga.co.id</t>
  </si>
  <si>
    <t>PT Palembang Retail Bersama</t>
  </si>
  <si>
    <t>Ruko Rajawali Center No. 12</t>
  </si>
  <si>
    <t>Jl. Rajawali</t>
  </si>
  <si>
    <t>Kel. 9 Ilir, Kec. Ilir Timur II</t>
  </si>
  <si>
    <t>Palembang, Sumatera Selatan</t>
  </si>
  <si>
    <t>30113, Indonesia</t>
  </si>
  <si>
    <t>finance@palembangretail.co.id</t>
  </si>
  <si>
    <t>PT Pekanbaru Home Store</t>
  </si>
  <si>
    <t>Ruko Sudirman Square Blok A No. 4</t>
  </si>
  <si>
    <t>Jl. Jend. Sudirman</t>
  </si>
  <si>
    <t>Kel. Simpang Empat, Kec. Pekanbaru Kota</t>
  </si>
  <si>
    <t>Pekanbaru, Riau</t>
  </si>
  <si>
    <t>28116, Indonesia</t>
  </si>
  <si>
    <t>accounting@pekanbaruhome.co.id</t>
  </si>
  <si>
    <t>PT Batam Modern Retail</t>
  </si>
  <si>
    <t>Komplek Nagoya Business Center Blok D No. 10</t>
  </si>
  <si>
    <t>Jl. Imam Bonjol</t>
  </si>
  <si>
    <t>Kel. Lubuk Baja Kota, Kec. Lubuk Baja</t>
  </si>
  <si>
    <t>Batam, Kepulauan Riau</t>
  </si>
  <si>
    <t>29444, Indonesia</t>
  </si>
  <si>
    <t>finance@batammodern.co.id</t>
  </si>
  <si>
    <t>PT Balikpapan Retailindo</t>
  </si>
  <si>
    <t>Ruko Balikpapan Baru Blok AB No. 7</t>
  </si>
  <si>
    <t>Jl. MT Haryono</t>
  </si>
  <si>
    <t>Kel. Damai Baru, Kec. Balikpapan Selatan</t>
  </si>
  <si>
    <t>Balikpapan, Kalimantan Timur</t>
  </si>
  <si>
    <t>76114, Indonesia</t>
  </si>
  <si>
    <t>ap@balikpapanretail.co.id</t>
  </si>
  <si>
    <t>PT Pontianak Niaga Abadi</t>
  </si>
  <si>
    <t>Ruko Gajah Mada Center No. 5</t>
  </si>
  <si>
    <t>Jl. Gajah Mada</t>
  </si>
  <si>
    <t>Kel. Benua Melayu Darat, Kec. Pontianak Selatan</t>
  </si>
  <si>
    <t>Pontianak, Kalimantan Barat</t>
  </si>
  <si>
    <t>78122, Indonesia</t>
  </si>
  <si>
    <t>finance@pontianakniaga.co.id</t>
  </si>
  <si>
    <t>PT Manado Lifestyle Center</t>
  </si>
  <si>
    <t>Ruko Boulevard Business Park Blok C No. 2</t>
  </si>
  <si>
    <t>Jl. Piere Tendean</t>
  </si>
  <si>
    <t>Kel. Sario Tumpaan, Kec. Sario</t>
  </si>
  <si>
    <t>Manado, Sulawesi Utara</t>
  </si>
  <si>
    <t>95114, Indonesia</t>
  </si>
  <si>
    <t>finance@manadolifestyle.co.id</t>
  </si>
  <si>
    <t>Item_Code</t>
  </si>
  <si>
    <t>Unit_Price</t>
  </si>
  <si>
    <t>PPN (12%)</t>
  </si>
  <si>
    <t>Invoice_Name</t>
  </si>
  <si>
    <t>(blanks)</t>
  </si>
  <si>
    <t>INV-2026-PT Sinar Karya Abadi-8</t>
  </si>
  <si>
    <t>INV-2026-PT Arunika Retail Indonesia-9</t>
  </si>
  <si>
    <t>INV-2026-PT Citra Home Living-9</t>
  </si>
  <si>
    <t>INV-2026-PT Arunika Retail Indonesia-10</t>
  </si>
  <si>
    <t>INV-2026-PT Nusantara Mart Sejahtera-11</t>
  </si>
  <si>
    <t>INV-2026-PT Arunika Retail Indonesia-11</t>
  </si>
  <si>
    <t>INV-2026-PT Arunika Retail Indonesia-12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</si>
</sst>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p&quot;#,##0.00;\-&quot;Rp&quot;#,##0.00"/>
    <numFmt numFmtId="164" formatCode="_-[$Rp-3809]* #,##0_-;\-[$Rp-3809]* #,##0_-;_-[$Rp-3809]* &quot;-&quot;??_-;_-@_-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4" tint="-0.499984740745262"/>
      <name val="Calibri"/>
      <family val="2"/>
    </font>
    <font>
      <sz val="11"/>
      <color theme="4" tint="-0.499984740745262"/>
      <name val="Aptos Narrow"/>
      <family val="2"/>
      <scheme val="minor"/>
    </font>
    <font>
      <b/>
      <sz val="14"/>
      <color theme="4" tint="-0.499984740745262"/>
      <name val="Calibri"/>
      <family val="2"/>
    </font>
    <font>
      <b/>
      <sz val="11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b/>
      <sz val="12"/>
      <color theme="4" tint="-0.499984740745262"/>
      <name val="Calibri"/>
      <family val="2"/>
    </font>
    <font>
      <b/>
      <sz val="20"/>
      <color theme="4" tint="-0.499984740745262"/>
      <name val="Calibri"/>
      <family val="2"/>
    </font>
    <font>
      <b/>
      <sz val="36"/>
      <color theme="4" tint="-0.499984740745262"/>
      <name val="Calibri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 tint="0.34998626667073579"/>
      <name val="Aptos Narrow"/>
      <family val="2"/>
      <scheme val="minor"/>
    </font>
    <font>
      <sz val="20"/>
      <color theme="1" tint="0.34998626667073579"/>
      <name val="Segoe UI Semibold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F5FC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6">
    <xf numFmtId="0" fontId="0" fillId="0" borderId="0" xfId="0"/>
    <xf numFmtId="0" fontId="0" fillId="0" borderId="0" xfId="0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0" xfId="0" applyFont="1" applyFill="1"/>
    <xf numFmtId="0" fontId="4" fillId="0" borderId="0" xfId="0" applyFont="1" applyAlignment="1">
      <alignment horizontal="left" vertical="top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2" fillId="0" borderId="0" xfId="1"/>
    <xf numFmtId="0" fontId="4" fillId="0" borderId="0" xfId="0" applyFont="1" applyAlignment="1">
      <alignment horizontal="left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7" fontId="0" fillId="0" borderId="0" xfId="0" applyNumberFormat="1"/>
    <xf numFmtId="14" fontId="0" fillId="0" borderId="0" xfId="0" applyNumberFormat="1"/>
    <xf numFmtId="0" fontId="1" fillId="0" borderId="0" xfId="0" applyFont="1"/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13" fillId="2" borderId="0" xfId="0" applyFont="1" applyFill="1"/>
    <xf numFmtId="0" fontId="14" fillId="2" borderId="0" xfId="0" applyFont="1" applyFill="1"/>
    <xf numFmtId="0" fontId="0" fillId="5" borderId="0" xfId="0" applyFill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14" fillId="2" borderId="0" xfId="0" applyFont="1" applyFill="1" applyBorder="1"/>
    <xf numFmtId="0" fontId="13" fillId="2" borderId="0" xfId="0" applyFont="1" applyFill="1" applyBorder="1"/>
    <xf numFmtId="0" fontId="0" fillId="2" borderId="6" xfId="0" applyFill="1" applyBorder="1"/>
    <xf numFmtId="0" fontId="0" fillId="3" borderId="7" xfId="0" applyFill="1" applyBorder="1"/>
    <xf numFmtId="0" fontId="0" fillId="2" borderId="8" xfId="0" applyFill="1" applyBorder="1"/>
    <xf numFmtId="0" fontId="0" fillId="7" borderId="0" xfId="0" applyFill="1"/>
    <xf numFmtId="0" fontId="15" fillId="4" borderId="0" xfId="0" applyFont="1" applyFill="1" applyBorder="1"/>
    <xf numFmtId="0" fontId="15" fillId="4" borderId="0" xfId="0" applyFont="1" applyFill="1"/>
    <xf numFmtId="0" fontId="16" fillId="4" borderId="0" xfId="0" applyFont="1" applyFill="1" applyBorder="1"/>
    <xf numFmtId="0" fontId="16" fillId="4" borderId="0" xfId="0" applyFont="1" applyFill="1"/>
    <xf numFmtId="0" fontId="16" fillId="6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15" fillId="7" borderId="0" xfId="0" applyFont="1" applyFill="1"/>
    <xf numFmtId="0" fontId="15" fillId="6" borderId="10" xfId="0" applyFont="1" applyFill="1" applyBorder="1"/>
    <xf numFmtId="0" fontId="15" fillId="6" borderId="5" xfId="0" applyFont="1" applyFill="1" applyBorder="1"/>
    <xf numFmtId="0" fontId="15" fillId="6" borderId="5" xfId="0" applyFont="1" applyFill="1" applyBorder="1" applyAlignment="1">
      <alignment horizontal="right"/>
    </xf>
    <xf numFmtId="0" fontId="15" fillId="6" borderId="9" xfId="0" applyFont="1" applyFill="1" applyBorder="1"/>
    <xf numFmtId="0" fontId="15" fillId="6" borderId="0" xfId="0" applyFont="1" applyFill="1"/>
    <xf numFmtId="0" fontId="18" fillId="7" borderId="0" xfId="0" applyFont="1" applyFill="1" applyBorder="1"/>
    <xf numFmtId="0" fontId="18" fillId="4" borderId="0" xfId="0" applyFont="1" applyFill="1" applyBorder="1"/>
    <xf numFmtId="0" fontId="15" fillId="6" borderId="5" xfId="0" applyFont="1" applyFill="1" applyBorder="1" applyAlignment="1">
      <alignment horizontal="center"/>
    </xf>
    <xf numFmtId="0" fontId="15" fillId="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6" fillId="0" borderId="2" xfId="0" applyFont="1" applyBorder="1" applyAlignment="1">
      <alignment vertical="center" wrapText="1"/>
    </xf>
    <xf numFmtId="0" fontId="15" fillId="6" borderId="9" xfId="0" applyFont="1" applyFill="1" applyBorder="1" applyAlignment="1">
      <alignment horizontal="center"/>
    </xf>
    <xf numFmtId="0" fontId="15" fillId="6" borderId="9" xfId="0" applyFont="1" applyFill="1" applyBorder="1" applyAlignment="1">
      <alignment horizontal="center" vertical="center"/>
    </xf>
    <xf numFmtId="0" fontId="17" fillId="6" borderId="5" xfId="0" applyFont="1" applyFill="1" applyBorder="1"/>
    <xf numFmtId="0" fontId="0" fillId="2" borderId="0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15" fillId="6" borderId="10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5" fillId="6" borderId="9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10" xfId="0" applyFont="1" applyFill="1" applyBorder="1" applyAlignment="1">
      <alignment horizontal="right" vertical="top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/>
    <xf numFmtId="0" fontId="0" fillId="0" borderId="0" xfId="0" applyFont="1" applyAlignment="1">
      <alignment horizontal="center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 applyFont="1" applyAlignment="1">
      <alignment horizontal="center" wrapText="1"/>
    </xf>
    <xf numFmtId="164" fontId="0" fillId="0" borderId="0" xfId="0" applyNumberFormat="1" applyFont="1"/>
    <xf numFmtId="164" fontId="0" fillId="0" borderId="0" xfId="0" applyNumberFormat="1"/>
    <xf numFmtId="164" fontId="15" fillId="6" borderId="5" xfId="0" applyNumberFormat="1" applyFont="1" applyFill="1" applyBorder="1"/>
    <xf numFmtId="0" fontId="15" fillId="6" borderId="5" xfId="0" applyFont="1" applyFill="1" applyBorder="1"/>
    <xf numFmtId="164" fontId="17" fillId="6" borderId="5" xfId="0" applyNumberFormat="1" applyFont="1" applyFill="1" applyBorder="1"/>
    <xf numFmtId="0" fontId="17" fillId="6" borderId="5" xfId="0" applyFont="1" applyFill="1" applyBorder="1"/>
    <xf numFmtId="0" fontId="15" fillId="4" borderId="14" xfId="0" applyFont="1" applyFill="1" applyBorder="1"/>
    <xf numFmtId="0" fontId="15" fillId="4" borderId="15" xfId="0" applyFont="1" applyFill="1" applyBorder="1"/>
    <xf numFmtId="0" fontId="15" fillId="6" borderId="9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10" xfId="0" applyFont="1" applyFill="1" applyBorder="1" applyAlignment="1">
      <alignment horizontal="right" vertical="top"/>
    </xf>
    <xf numFmtId="164" fontId="15" fillId="6" borderId="5" xfId="0" applyNumberFormat="1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64" fontId="15" fillId="6" borderId="9" xfId="0" applyNumberFormat="1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5" fillId="4" borderId="23" xfId="0" applyFont="1" applyFill="1" applyBorder="1" applyAlignment="1">
      <alignment horizontal="center" vertical="center"/>
    </xf>
    <xf numFmtId="0" fontId="15" fillId="4" borderId="19" xfId="0" applyNumberFormat="1" applyFont="1" applyFill="1" applyBorder="1" applyAlignment="1">
      <alignment horizontal="left" vertical="center"/>
    </xf>
    <xf numFmtId="0" fontId="15" fillId="4" borderId="20" xfId="0" applyNumberFormat="1" applyFont="1" applyFill="1" applyBorder="1" applyAlignment="1">
      <alignment horizontal="left" vertical="center"/>
    </xf>
    <xf numFmtId="0" fontId="15" fillId="4" borderId="21" xfId="0" applyNumberFormat="1" applyFont="1" applyFill="1" applyBorder="1" applyAlignment="1">
      <alignment horizontal="left" vertical="center"/>
    </xf>
    <xf numFmtId="0" fontId="15" fillId="6" borderId="9" xfId="0" applyFont="1" applyFill="1" applyBorder="1" applyAlignment="1">
      <alignment horizontal="left" vertical="center"/>
    </xf>
    <xf numFmtId="0" fontId="15" fillId="6" borderId="5" xfId="0" applyNumberFormat="1" applyFont="1" applyFill="1" applyBorder="1" applyAlignment="1">
      <alignment horizontal="left" vertical="center"/>
    </xf>
    <xf numFmtId="0" fontId="15" fillId="4" borderId="16" xfId="0" applyNumberFormat="1" applyFont="1" applyFill="1" applyBorder="1" applyAlignment="1">
      <alignment horizontal="left" vertical="center"/>
    </xf>
    <xf numFmtId="0" fontId="15" fillId="4" borderId="17" xfId="0" applyNumberFormat="1" applyFont="1" applyFill="1" applyBorder="1" applyAlignment="1">
      <alignment horizontal="left" vertical="center"/>
    </xf>
    <xf numFmtId="0" fontId="15" fillId="4" borderId="18" xfId="0" applyNumberFormat="1" applyFont="1" applyFill="1" applyBorder="1" applyAlignment="1">
      <alignment horizontal="left" vertical="center"/>
    </xf>
    <xf numFmtId="0" fontId="15" fillId="6" borderId="9" xfId="0" applyNumberFormat="1" applyFont="1" applyFill="1" applyBorder="1" applyAlignment="1">
      <alignment horizontal="left" vertical="center"/>
    </xf>
    <xf numFmtId="0" fontId="15" fillId="6" borderId="9" xfId="0" applyFont="1" applyFill="1" applyBorder="1" applyAlignment="1">
      <alignment horizontal="left" vertical="top" wrapText="1"/>
    </xf>
    <xf numFmtId="0" fontId="15" fillId="6" borderId="0" xfId="0" applyFont="1" applyFill="1" applyBorder="1" applyAlignment="1">
      <alignment horizontal="left" vertical="top" wrapText="1"/>
    </xf>
    <xf numFmtId="0" fontId="15" fillId="6" borderId="10" xfId="0" applyFont="1" applyFill="1" applyBorder="1" applyAlignment="1">
      <alignment horizontal="left" vertical="top" wrapText="1"/>
    </xf>
    <xf numFmtId="0" fontId="15" fillId="6" borderId="5" xfId="0" applyFont="1" applyFill="1" applyBorder="1" applyAlignment="1">
      <alignment horizontal="left" vertical="center"/>
    </xf>
    <xf numFmtId="0" fontId="15" fillId="4" borderId="11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4" borderId="13" xfId="0" applyFont="1" applyFill="1" applyBorder="1" applyAlignment="1">
      <alignment horizontal="center"/>
    </xf>
    <xf numFmtId="0" fontId="15" fillId="6" borderId="5" xfId="0" applyFont="1" applyFill="1" applyBorder="1" applyAlignment="1">
      <alignment horizontal="left" vertical="top"/>
    </xf>
    <xf numFmtId="0" fontId="15" fillId="6" borderId="5" xfId="0" applyFont="1" applyFill="1" applyBorder="1" applyAlignment="1">
      <alignment horizontal="right"/>
    </xf>
    <xf numFmtId="0" fontId="17" fillId="6" borderId="0" xfId="0" applyFont="1" applyFill="1" applyBorder="1" applyAlignment="1">
      <alignment horizontal="center" vertical="center"/>
    </xf>
    <xf numFmtId="0" fontId="17" fillId="6" borderId="0" xfId="0" applyFont="1" applyFill="1" applyBorder="1" applyAlignment="1">
      <alignment horizontal="center"/>
    </xf>
    <xf numFmtId="0" fontId="15" fillId="4" borderId="22" xfId="0" applyFont="1" applyFill="1" applyBorder="1" applyAlignment="1">
      <alignment horizontal="left" vertical="center"/>
    </xf>
    <xf numFmtId="0" fontId="15" fillId="4" borderId="23" xfId="0" applyFont="1" applyFill="1" applyBorder="1" applyAlignment="1">
      <alignment horizontal="left" vertical="center"/>
    </xf>
    <xf numFmtId="14" fontId="15" fillId="4" borderId="22" xfId="0" applyNumberFormat="1" applyFont="1" applyFill="1" applyBorder="1" applyAlignment="1">
      <alignment horizontal="left"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quotePrefix="1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7" fillId="0" borderId="4" xfId="0" applyFont="1" applyBorder="1" applyAlignment="1">
      <alignment vertical="center" wrapText="1"/>
    </xf>
    <xf numFmtId="14" fontId="7" fillId="0" borderId="2" xfId="0" applyNumberFormat="1" applyFont="1" applyBorder="1" applyAlignment="1">
      <alignment vertical="center" wrapText="1"/>
    </xf>
    <xf numFmtId="14" fontId="7" fillId="0" borderId="4" xfId="0" applyNumberFormat="1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2" fontId="7" fillId="0" borderId="0" xfId="0" applyNumberFormat="1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23">
    <dxf>
      <fill>
        <patternFill patternType="darkGrid">
          <fgColor rgb="FFFF9797"/>
          <bgColor auto="1"/>
        </patternFill>
      </fill>
    </dxf>
    <dxf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numFmt numFmtId="11" formatCode="&quot;Rp&quot;#,##0.00;\-&quot;Rp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EEF5FC"/>
      <color rgb="FFF9F9F9"/>
      <color rgb="FFEAEAEA"/>
      <color rgb="FFFF9797"/>
      <color rgb="FFFFB7B7"/>
      <color rgb="FFFF535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2.sv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hyperlink" Target="#'Manage Customer'!A1"/><Relationship Id="rId7" Type="http://schemas.openxmlformats.org/officeDocument/2006/relationships/image" Target="../media/image11.png"/><Relationship Id="rId12" Type="http://schemas.openxmlformats.org/officeDocument/2006/relationships/image" Target="../media/image8.svg"/><Relationship Id="rId17" Type="http://schemas.openxmlformats.org/officeDocument/2006/relationships/image" Target="../media/image17.png"/><Relationship Id="rId2" Type="http://schemas.openxmlformats.org/officeDocument/2006/relationships/hyperlink" Target="#'Create Invoice'!A1"/><Relationship Id="rId16" Type="http://schemas.openxmlformats.org/officeDocument/2006/relationships/image" Target="../media/image16.svg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7.png"/><Relationship Id="rId5" Type="http://schemas.openxmlformats.org/officeDocument/2006/relationships/image" Target="../media/image9.png"/><Relationship Id="rId15" Type="http://schemas.openxmlformats.org/officeDocument/2006/relationships/image" Target="../media/image15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Relationship Id="rId14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sv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10" Type="http://schemas.openxmlformats.org/officeDocument/2006/relationships/image" Target="../media/image28.svg"/><Relationship Id="rId4" Type="http://schemas.openxmlformats.org/officeDocument/2006/relationships/image" Target="../media/image22.svg"/><Relationship Id="rId9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7.png"/><Relationship Id="rId5" Type="http://schemas.openxmlformats.org/officeDocument/2006/relationships/image" Target="../media/image9.png"/><Relationship Id="rId10" Type="http://schemas.openxmlformats.org/officeDocument/2006/relationships/image" Target="../media/image30.svg"/><Relationship Id="rId4" Type="http://schemas.openxmlformats.org/officeDocument/2006/relationships/hyperlink" Target="#'Manage Product'!A1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32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31.png"/><Relationship Id="rId5" Type="http://schemas.openxmlformats.org/officeDocument/2006/relationships/image" Target="../media/image9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4330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81F7D-A2B0-43D0-BE8B-1335D944474F}"/>
            </a:ext>
          </a:extLst>
        </xdr:cNvPr>
        <xdr:cNvSpPr txBox="1"/>
      </xdr:nvSpPr>
      <xdr:spPr>
        <a:xfrm>
          <a:off x="5953" y="992332"/>
          <a:ext cx="1435786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F0D82E-DBF2-4FFE-8555-2AF515486248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324716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67B0CF-4C2E-456D-80C2-413FB24CE4AF}"/>
            </a:ext>
          </a:extLst>
        </xdr:cNvPr>
        <xdr:cNvSpPr txBox="1"/>
      </xdr:nvSpPr>
      <xdr:spPr>
        <a:xfrm>
          <a:off x="10379" y="1904102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34E3AF-5925-478D-8843-90FB6856CC08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CAEDF6D9-CC8E-40A2-BC82-A4AA5F398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248AF06-D113-43C0-9097-C8EE1B9B1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460F3F4-A7F0-4F19-915D-C095CEBF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F180EEB2-1B95-4EA4-BCCA-31B9B1210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17818</xdr:colOff>
      <xdr:row>4</xdr:row>
      <xdr:rowOff>150796</xdr:rowOff>
    </xdr:from>
    <xdr:to>
      <xdr:col>0</xdr:col>
      <xdr:colOff>17818</xdr:colOff>
      <xdr:row>6</xdr:row>
      <xdr:rowOff>164095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718AE6A8-235F-46B6-BDB1-47CBEEBAF063}"/>
            </a:ext>
          </a:extLst>
        </xdr:cNvPr>
        <xdr:cNvCxnSpPr>
          <a:cxnSpLocks noChangeAspect="1"/>
        </xdr:cNvCxnSpPr>
      </xdr:nvCxnSpPr>
      <xdr:spPr>
        <a:xfrm>
          <a:off x="17818" y="99028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B9BB0B2-5250-4F65-AA68-7F9F026FDAD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1F110AA-F63C-4E25-998F-551DB7014E6E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5953</xdr:colOff>
      <xdr:row>4</xdr:row>
      <xdr:rowOff>53865</xdr:rowOff>
    </xdr:from>
    <xdr:to>
      <xdr:col>3</xdr:col>
      <xdr:colOff>4330</xdr:colOff>
      <xdr:row>7</xdr:row>
      <xdr:rowOff>47753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0296C0-191F-4360-A5F8-1EE0F1B67A37}"/>
            </a:ext>
          </a:extLst>
        </xdr:cNvPr>
        <xdr:cNvSpPr txBox="1"/>
      </xdr:nvSpPr>
      <xdr:spPr>
        <a:xfrm>
          <a:off x="5953" y="990600"/>
          <a:ext cx="1436652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14675</xdr:colOff>
      <xdr:row>7</xdr:row>
      <xdr:rowOff>105130</xdr:rowOff>
    </xdr:from>
    <xdr:to>
      <xdr:col>2</xdr:col>
      <xdr:colOff>380792</xdr:colOff>
      <xdr:row>9</xdr:row>
      <xdr:rowOff>123415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6A939E-A6AE-4954-8EDA-E5F5AA7305EC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 editAs="absolute">
    <xdr:from>
      <xdr:col>0</xdr:col>
      <xdr:colOff>10379</xdr:colOff>
      <xdr:row>9</xdr:row>
      <xdr:rowOff>185808</xdr:rowOff>
    </xdr:from>
    <xdr:to>
      <xdr:col>2</xdr:col>
      <xdr:colOff>324716</xdr:colOff>
      <xdr:row>12</xdr:row>
      <xdr:rowOff>10766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D37CE6-448B-40B5-9E41-58C3FFFAA42F}"/>
            </a:ext>
          </a:extLst>
        </xdr:cNvPr>
        <xdr:cNvSpPr txBox="1"/>
      </xdr:nvSpPr>
      <xdr:spPr>
        <a:xfrm>
          <a:off x="10379" y="1808311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 editAs="absolute">
    <xdr:from>
      <xdr:col>0</xdr:col>
      <xdr:colOff>4646</xdr:colOff>
      <xdr:row>12</xdr:row>
      <xdr:rowOff>82493</xdr:rowOff>
    </xdr:from>
    <xdr:to>
      <xdr:col>2</xdr:col>
      <xdr:colOff>381000</xdr:colOff>
      <xdr:row>16</xdr:row>
      <xdr:rowOff>4769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4E1A3C-7D4F-4F5F-860B-A7B84C2746D7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87317</xdr:colOff>
      <xdr:row>5</xdr:row>
      <xdr:rowOff>23919</xdr:rowOff>
    </xdr:from>
    <xdr:to>
      <xdr:col>1</xdr:col>
      <xdr:colOff>295031</xdr:colOff>
      <xdr:row>6</xdr:row>
      <xdr:rowOff>48336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6F7FF625-7DDF-46BC-BEC6-8A961AC8A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absolute">
    <xdr:from>
      <xdr:col>1</xdr:col>
      <xdr:colOff>110507</xdr:colOff>
      <xdr:row>8</xdr:row>
      <xdr:rowOff>43516</xdr:rowOff>
    </xdr:from>
    <xdr:to>
      <xdr:col>1</xdr:col>
      <xdr:colOff>286395</xdr:colOff>
      <xdr:row>9</xdr:row>
      <xdr:rowOff>28840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96818AE-D97C-4F0A-B6FA-46E9BEAD3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absolute">
    <xdr:from>
      <xdr:col>1</xdr:col>
      <xdr:colOff>94510</xdr:colOff>
      <xdr:row>10</xdr:row>
      <xdr:rowOff>103070</xdr:rowOff>
    </xdr:from>
    <xdr:to>
      <xdr:col>1</xdr:col>
      <xdr:colOff>290180</xdr:colOff>
      <xdr:row>11</xdr:row>
      <xdr:rowOff>108671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E5A7A06-A691-4234-82C1-9C6F27238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1901" y="1916073"/>
          <a:ext cx="195670" cy="195643"/>
        </a:xfrm>
        <a:prstGeom prst="rect">
          <a:avLst/>
        </a:prstGeom>
      </xdr:spPr>
    </xdr:pic>
    <xdr:clientData/>
  </xdr:twoCellAnchor>
  <xdr:twoCellAnchor editAs="absolute">
    <xdr:from>
      <xdr:col>1</xdr:col>
      <xdr:colOff>64659</xdr:colOff>
      <xdr:row>13</xdr:row>
      <xdr:rowOff>73627</xdr:rowOff>
    </xdr:from>
    <xdr:to>
      <xdr:col>1</xdr:col>
      <xdr:colOff>329003</xdr:colOff>
      <xdr:row>15</xdr:row>
      <xdr:rowOff>147196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8CBE43E-7084-41D2-AAB0-CF66119F1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 editAs="absolute">
    <xdr:from>
      <xdr:col>0</xdr:col>
      <xdr:colOff>25924</xdr:colOff>
      <xdr:row>7</xdr:row>
      <xdr:rowOff>104107</xdr:rowOff>
    </xdr:from>
    <xdr:to>
      <xdr:col>0</xdr:col>
      <xdr:colOff>25924</xdr:colOff>
      <xdr:row>9</xdr:row>
      <xdr:rowOff>120691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A307582-AF8F-4E01-9B8F-737634327275}"/>
            </a:ext>
          </a:extLst>
        </xdr:cNvPr>
        <xdr:cNvCxnSpPr>
          <a:cxnSpLocks noChangeAspect="1"/>
        </xdr:cNvCxnSpPr>
      </xdr:nvCxnSpPr>
      <xdr:spPr>
        <a:xfrm>
          <a:off x="25924" y="1443765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208462</xdr:colOff>
      <xdr:row>0</xdr:row>
      <xdr:rowOff>16328</xdr:rowOff>
    </xdr:from>
    <xdr:to>
      <xdr:col>19</xdr:col>
      <xdr:colOff>174340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84A26E2-99D4-DC96-8B18-F7034E3582B3}"/>
            </a:ext>
          </a:extLst>
        </xdr:cNvPr>
        <xdr:cNvSpPr txBox="1"/>
      </xdr:nvSpPr>
      <xdr:spPr>
        <a:xfrm>
          <a:off x="4192046" y="16328"/>
          <a:ext cx="2813538" cy="527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Create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3</xdr:col>
      <xdr:colOff>88131</xdr:colOff>
      <xdr:row>0</xdr:row>
      <xdr:rowOff>16329</xdr:rowOff>
    </xdr:from>
    <xdr:to>
      <xdr:col>11</xdr:col>
      <xdr:colOff>578636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BDCA7F9-2C85-431D-B428-D7B2B5A0236A}"/>
            </a:ext>
          </a:extLst>
        </xdr:cNvPr>
        <xdr:cNvSpPr txBox="1"/>
      </xdr:nvSpPr>
      <xdr:spPr>
        <a:xfrm>
          <a:off x="1530488" y="16329"/>
          <a:ext cx="2633298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xdr:twoCellAnchor editAs="absolute">
    <xdr:from>
      <xdr:col>6</xdr:col>
      <xdr:colOff>126068</xdr:colOff>
      <xdr:row>7</xdr:row>
      <xdr:rowOff>94746</xdr:rowOff>
    </xdr:from>
    <xdr:to>
      <xdr:col>7</xdr:col>
      <xdr:colOff>565684</xdr:colOff>
      <xdr:row>8</xdr:row>
      <xdr:rowOff>189996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84DB044E-45DA-37CF-6015-4D3488EF71AD}"/>
            </a:ext>
          </a:extLst>
        </xdr:cNvPr>
        <xdr:cNvGrpSpPr/>
      </xdr:nvGrpSpPr>
      <xdr:grpSpPr>
        <a:xfrm>
          <a:off x="2445198" y="1353703"/>
          <a:ext cx="712943" cy="285750"/>
          <a:chOff x="2370066" y="1818234"/>
          <a:chExt cx="721511" cy="285750"/>
        </a:xfrm>
      </xdr:grpSpPr>
      <xdr:sp macro="[0]!modCreateInvoice.NewInvoice" textlink="">
        <xdr:nvSpPr>
          <xdr:cNvPr id="15" name="TextBox 14">
            <a:extLst>
              <a:ext uri="{FF2B5EF4-FFF2-40B4-BE49-F238E27FC236}">
                <a16:creationId xmlns:a16="http://schemas.microsoft.com/office/drawing/2014/main" id="{7404E444-04D9-FBF6-A98D-75608540DE69}"/>
              </a:ext>
            </a:extLst>
          </xdr:cNvPr>
          <xdr:cNvSpPr txBox="1"/>
        </xdr:nvSpPr>
        <xdr:spPr>
          <a:xfrm>
            <a:off x="2370066" y="1818234"/>
            <a:ext cx="721511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New</a:t>
            </a:r>
          </a:p>
        </xdr:txBody>
      </xdr:sp>
      <xdr:pic>
        <xdr:nvPicPr>
          <xdr:cNvPr id="20" name="Graphic 19" descr="Badge Follow with solid fill">
            <a:extLst>
              <a:ext uri="{FF2B5EF4-FFF2-40B4-BE49-F238E27FC236}">
                <a16:creationId xmlns:a16="http://schemas.microsoft.com/office/drawing/2014/main" id="{FAF08E3C-3C07-A23C-E60B-8A5F50EF6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487530" y="1870303"/>
            <a:ext cx="184483" cy="18761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714</xdr:colOff>
      <xdr:row>7</xdr:row>
      <xdr:rowOff>95250</xdr:rowOff>
    </xdr:from>
    <xdr:to>
      <xdr:col>11</xdr:col>
      <xdr:colOff>1913</xdr:colOff>
      <xdr:row>9</xdr:row>
      <xdr:rowOff>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B2ACDF9-0DA5-4282-2A61-53ED3E29E89C}"/>
            </a:ext>
          </a:extLst>
        </xdr:cNvPr>
        <xdr:cNvGrpSpPr/>
      </xdr:nvGrpSpPr>
      <xdr:grpSpPr>
        <a:xfrm>
          <a:off x="3264062" y="1354207"/>
          <a:ext cx="705221" cy="285750"/>
          <a:chOff x="3190616" y="1818738"/>
          <a:chExt cx="717879" cy="285750"/>
        </a:xfrm>
      </xdr:grpSpPr>
      <xdr:sp macro="[0]!modCreateInvoice.RecordInvoice" textlink="">
        <xdr:nvSpPr>
          <xdr:cNvPr id="23" name="TextBox 22">
            <a:extLst>
              <a:ext uri="{FF2B5EF4-FFF2-40B4-BE49-F238E27FC236}">
                <a16:creationId xmlns:a16="http://schemas.microsoft.com/office/drawing/2014/main" id="{ABB350BB-3713-415B-8B73-009A7E011C73}"/>
              </a:ext>
            </a:extLst>
          </xdr:cNvPr>
          <xdr:cNvSpPr txBox="1"/>
        </xdr:nvSpPr>
        <xdr:spPr>
          <a:xfrm>
            <a:off x="3190616" y="1818738"/>
            <a:ext cx="717879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Save</a:t>
            </a:r>
          </a:p>
        </xdr:txBody>
      </xdr:sp>
      <xdr:pic>
        <xdr:nvPicPr>
          <xdr:cNvPr id="26" name="Graphic 25" descr="Disk with solid fill">
            <a:extLst>
              <a:ext uri="{FF2B5EF4-FFF2-40B4-BE49-F238E27FC236}">
                <a16:creationId xmlns:a16="http://schemas.microsoft.com/office/drawing/2014/main" id="{8DEEE3FA-36EE-EFE7-F0F7-043DE7CDF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3303671" y="1866277"/>
            <a:ext cx="188849" cy="18911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99016</xdr:colOff>
      <xdr:row>7</xdr:row>
      <xdr:rowOff>92791</xdr:rowOff>
    </xdr:from>
    <xdr:to>
      <xdr:col>11</xdr:col>
      <xdr:colOff>814528</xdr:colOff>
      <xdr:row>8</xdr:row>
      <xdr:rowOff>188041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571DD4A8-4C2C-931E-81A3-B1842DA19E70}"/>
            </a:ext>
          </a:extLst>
        </xdr:cNvPr>
        <xdr:cNvGrpSpPr/>
      </xdr:nvGrpSpPr>
      <xdr:grpSpPr>
        <a:xfrm>
          <a:off x="4066386" y="1351748"/>
          <a:ext cx="715512" cy="285750"/>
          <a:chOff x="3987980" y="1323289"/>
          <a:chExt cx="715512" cy="285750"/>
        </a:xfrm>
      </xdr:grpSpPr>
      <xdr:sp macro="[0]!LoadInvoice" textlink="">
        <xdr:nvSpPr>
          <xdr:cNvPr id="30" name="TextBox 29">
            <a:extLst>
              <a:ext uri="{FF2B5EF4-FFF2-40B4-BE49-F238E27FC236}">
                <a16:creationId xmlns:a16="http://schemas.microsoft.com/office/drawing/2014/main" id="{39A560FA-8D19-D59E-2330-DE4741F31653}"/>
              </a:ext>
            </a:extLst>
          </xdr:cNvPr>
          <xdr:cNvSpPr txBox="1"/>
        </xdr:nvSpPr>
        <xdr:spPr>
          <a:xfrm>
            <a:off x="3987980" y="1323289"/>
            <a:ext cx="715512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Load</a:t>
            </a:r>
          </a:p>
        </xdr:txBody>
      </xdr:sp>
      <xdr:pic>
        <xdr:nvPicPr>
          <xdr:cNvPr id="33" name="Graphic 32" descr="Back with solid fill">
            <a:extLst>
              <a:ext uri="{FF2B5EF4-FFF2-40B4-BE49-F238E27FC236}">
                <a16:creationId xmlns:a16="http://schemas.microsoft.com/office/drawing/2014/main" id="{69B49FFC-D898-84CC-90E2-162057C334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100336" y="1382642"/>
            <a:ext cx="174356" cy="17435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508438</xdr:colOff>
      <xdr:row>15</xdr:row>
      <xdr:rowOff>139919</xdr:rowOff>
    </xdr:from>
    <xdr:to>
      <xdr:col>12</xdr:col>
      <xdr:colOff>13138</xdr:colOff>
      <xdr:row>18</xdr:row>
      <xdr:rowOff>142546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B5900EF9-A16A-C931-CFEA-631791973C47}"/>
            </a:ext>
          </a:extLst>
        </xdr:cNvPr>
        <xdr:cNvGrpSpPr/>
      </xdr:nvGrpSpPr>
      <xdr:grpSpPr>
        <a:xfrm>
          <a:off x="6322829" y="2939441"/>
          <a:ext cx="1368287" cy="499583"/>
          <a:chOff x="6302833" y="2364931"/>
          <a:chExt cx="1371601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400-00000E040000}"/>
                  </a:ext>
                </a:extLst>
              </xdr:cNvPr>
              <xdr:cNvSpPr/>
            </xdr:nvSpPr>
            <xdr:spPr bwMode="auto">
              <a:xfrm>
                <a:off x="6302833" y="2364931"/>
                <a:ext cx="1371601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xls.</a:t>
                </a:r>
              </a:p>
            </xdr:txBody>
          </xdr:sp>
        </mc:Choice>
        <mc:Fallback/>
      </mc:AlternateContent>
      <xdr:pic>
        <xdr:nvPicPr>
          <xdr:cNvPr id="14" name="Graphic 13" descr="Table with solid fill">
            <a:extLst>
              <a:ext uri="{FF2B5EF4-FFF2-40B4-BE49-F238E27FC236}">
                <a16:creationId xmlns:a16="http://schemas.microsoft.com/office/drawing/2014/main" id="{2BCC4818-20FA-4B57-BCAD-6A649D03F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18419" y="2427515"/>
            <a:ext cx="319937" cy="35922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505507</xdr:colOff>
      <xdr:row>19</xdr:row>
      <xdr:rowOff>147194</xdr:rowOff>
    </xdr:from>
    <xdr:to>
      <xdr:col>12</xdr:col>
      <xdr:colOff>8742</xdr:colOff>
      <xdr:row>22</xdr:row>
      <xdr:rowOff>65437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B859D817-6F61-3AEE-3215-8BCF04C29688}"/>
            </a:ext>
          </a:extLst>
        </xdr:cNvPr>
        <xdr:cNvGrpSpPr/>
      </xdr:nvGrpSpPr>
      <xdr:grpSpPr>
        <a:xfrm>
          <a:off x="6319898" y="3634172"/>
          <a:ext cx="1366822" cy="489743"/>
          <a:chOff x="6299903" y="3121068"/>
          <a:chExt cx="1370134" cy="49236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400-000010040000}"/>
                  </a:ext>
                </a:extLst>
              </xdr:cNvPr>
              <xdr:cNvSpPr/>
            </xdr:nvSpPr>
            <xdr:spPr bwMode="auto">
              <a:xfrm>
                <a:off x="6299903" y="3121068"/>
                <a:ext cx="1370134" cy="4923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86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PDF</a:t>
                </a:r>
              </a:p>
            </xdr:txBody>
          </xdr:sp>
        </mc:Choice>
        <mc:Fallback/>
      </mc:AlternateContent>
      <xdr:pic macro="[0]!SaveAsPdf">
        <xdr:nvPicPr>
          <xdr:cNvPr id="22" name="Graphic 21" descr="Printer with solid fill">
            <a:extLst>
              <a:ext uri="{FF2B5EF4-FFF2-40B4-BE49-F238E27FC236}">
                <a16:creationId xmlns:a16="http://schemas.microsoft.com/office/drawing/2014/main" id="{333D7127-4671-6F36-17F4-DE52332D50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47654" y="3206939"/>
            <a:ext cx="293279" cy="292819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517071</xdr:colOff>
      <xdr:row>11</xdr:row>
      <xdr:rowOff>167838</xdr:rowOff>
    </xdr:from>
    <xdr:to>
      <xdr:col>11</xdr:col>
      <xdr:colOff>752475</xdr:colOff>
      <xdr:row>14</xdr:row>
      <xdr:rowOff>122935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FB3A2B5B-B1D6-2D63-17B4-F2BF2D685A36}"/>
            </a:ext>
          </a:extLst>
        </xdr:cNvPr>
        <xdr:cNvGrpSpPr/>
      </xdr:nvGrpSpPr>
      <xdr:grpSpPr>
        <a:xfrm>
          <a:off x="6331462" y="2205360"/>
          <a:ext cx="1336991" cy="526597"/>
          <a:chOff x="6324590" y="2208909"/>
          <a:chExt cx="1340302" cy="52659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400-000011040000}"/>
                  </a:ext>
                </a:extLst>
              </xdr:cNvPr>
              <xdr:cNvSpPr/>
            </xdr:nvSpPr>
            <xdr:spPr bwMode="auto">
              <a:xfrm>
                <a:off x="6324590" y="2208909"/>
                <a:ext cx="1340302" cy="5265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324000" bIns="46800" anchor="ctr" upright="1"/>
              <a:lstStyle/>
              <a:p>
                <a:pPr algn="l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Update Inv. Detail</a:t>
                </a:r>
              </a:p>
            </xdr:txBody>
          </xdr:sp>
        </mc:Choice>
        <mc:Fallback/>
      </mc:AlternateContent>
      <xdr:pic>
        <xdr:nvPicPr>
          <xdr:cNvPr id="26" name="Graphic 25" descr="Repeat with solid fill">
            <a:extLst>
              <a:ext uri="{FF2B5EF4-FFF2-40B4-BE49-F238E27FC236}">
                <a16:creationId xmlns:a16="http://schemas.microsoft.com/office/drawing/2014/main" id="{9E782529-EB33-0C5D-E71C-F5BC5422D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243202" y="2320376"/>
            <a:ext cx="306042" cy="3061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505662</xdr:colOff>
      <xdr:row>8</xdr:row>
      <xdr:rowOff>103519</xdr:rowOff>
    </xdr:from>
    <xdr:to>
      <xdr:col>12</xdr:col>
      <xdr:colOff>10362</xdr:colOff>
      <xdr:row>11</xdr:row>
      <xdr:rowOff>27319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6F55B6E-7A11-28A3-C7D1-473FC310457C}"/>
            </a:ext>
          </a:extLst>
        </xdr:cNvPr>
        <xdr:cNvGrpSpPr/>
      </xdr:nvGrpSpPr>
      <xdr:grpSpPr>
        <a:xfrm>
          <a:off x="6320053" y="1569541"/>
          <a:ext cx="1368287" cy="495300"/>
          <a:chOff x="6304005" y="1573941"/>
          <a:chExt cx="1373982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400-00000D040000}"/>
                  </a:ext>
                </a:extLst>
              </xdr:cNvPr>
              <xdr:cNvSpPr/>
            </xdr:nvSpPr>
            <xdr:spPr bwMode="auto">
              <a:xfrm>
                <a:off x="6304005" y="1573941"/>
                <a:ext cx="1373982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New Invoice</a:t>
                </a:r>
              </a:p>
            </xdr:txBody>
          </xdr:sp>
        </mc:Choice>
        <mc:Fallback/>
      </mc:AlternateContent>
      <xdr:pic>
        <xdr:nvPicPr>
          <xdr:cNvPr id="32" name="Graphic 31" descr="Eraser with solid fill">
            <a:extLst>
              <a:ext uri="{FF2B5EF4-FFF2-40B4-BE49-F238E27FC236}">
                <a16:creationId xmlns:a16="http://schemas.microsoft.com/office/drawing/2014/main" id="{5C3D143B-FEAC-804B-C478-C2643B597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227505" y="1672213"/>
            <a:ext cx="297246" cy="29724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487417</xdr:colOff>
      <xdr:row>23</xdr:row>
      <xdr:rowOff>119555</xdr:rowOff>
    </xdr:from>
    <xdr:to>
      <xdr:col>11</xdr:col>
      <xdr:colOff>752652</xdr:colOff>
      <xdr:row>26</xdr:row>
      <xdr:rowOff>37655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8EF37B4-DAE1-701A-87DB-955510995234}"/>
            </a:ext>
          </a:extLst>
        </xdr:cNvPr>
        <xdr:cNvGrpSpPr/>
      </xdr:nvGrpSpPr>
      <xdr:grpSpPr>
        <a:xfrm>
          <a:off x="6301808" y="4368533"/>
          <a:ext cx="1366822" cy="489600"/>
          <a:chOff x="6340357" y="4395952"/>
          <a:chExt cx="1368820" cy="4896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400-000016040000}"/>
                  </a:ext>
                </a:extLst>
              </xdr:cNvPr>
              <xdr:cNvSpPr/>
            </xdr:nvSpPr>
            <xdr:spPr bwMode="auto">
              <a:xfrm>
                <a:off x="6340357" y="4395952"/>
                <a:ext cx="1368820" cy="489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68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Email Inv.</a:t>
                </a:r>
              </a:p>
            </xdr:txBody>
          </xdr:sp>
        </mc:Choice>
        <mc:Fallback/>
      </mc:AlternateContent>
      <xdr:pic>
        <xdr:nvPicPr>
          <xdr:cNvPr id="36" name="Graphic 35" descr="Envelope with solid fill">
            <a:extLst>
              <a:ext uri="{FF2B5EF4-FFF2-40B4-BE49-F238E27FC236}">
                <a16:creationId xmlns:a16="http://schemas.microsoft.com/office/drawing/2014/main" id="{49256BFA-7D72-45CE-DEEC-8F125544E6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193017" y="4480034"/>
            <a:ext cx="335017" cy="33501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7B193-478D-4EE2-9AA2-47E66A8E0D6E}"/>
            </a:ext>
          </a:extLst>
        </xdr:cNvPr>
        <xdr:cNvSpPr txBox="1"/>
      </xdr:nvSpPr>
      <xdr:spPr>
        <a:xfrm>
          <a:off x="5953" y="990600"/>
          <a:ext cx="1502051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9D34CC-3621-43F5-8C59-211E9E945C6A}"/>
            </a:ext>
          </a:extLst>
        </xdr:cNvPr>
        <xdr:cNvSpPr txBox="1"/>
      </xdr:nvSpPr>
      <xdr:spPr>
        <a:xfrm>
          <a:off x="14675" y="1443977"/>
          <a:ext cx="1461492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389106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C73A7E-29D7-4EC2-9446-2DF7C3DE8406}"/>
            </a:ext>
          </a:extLst>
        </xdr:cNvPr>
        <xdr:cNvSpPr txBox="1"/>
      </xdr:nvSpPr>
      <xdr:spPr>
        <a:xfrm>
          <a:off x="10379" y="1903181"/>
          <a:ext cx="1477142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460B02-FD12-4858-AA6F-DB06B8775212}"/>
            </a:ext>
          </a:extLst>
        </xdr:cNvPr>
        <xdr:cNvSpPr txBox="1"/>
      </xdr:nvSpPr>
      <xdr:spPr>
        <a:xfrm>
          <a:off x="4646" y="2370097"/>
          <a:ext cx="1471729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47F2D26D-B7B1-48B2-A28F-74C89373A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142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6AF46B4-69C2-4681-9409-C56092149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32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00380DCD-5407-45B4-B459-F9DA94932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8335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5D99A3C-21DC-45D0-AD5B-5CB51C6B6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8484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21047</xdr:colOff>
      <xdr:row>9</xdr:row>
      <xdr:rowOff>112857</xdr:rowOff>
    </xdr:from>
    <xdr:to>
      <xdr:col>0</xdr:col>
      <xdr:colOff>21047</xdr:colOff>
      <xdr:row>11</xdr:row>
      <xdr:rowOff>126156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948B89-C05F-446C-9718-690FA8DAF334}"/>
            </a:ext>
          </a:extLst>
        </xdr:cNvPr>
        <xdr:cNvCxnSpPr>
          <a:cxnSpLocks noChangeAspect="1"/>
        </xdr:cNvCxnSpPr>
      </xdr:nvCxnSpPr>
      <xdr:spPr>
        <a:xfrm>
          <a:off x="21047" y="190436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5D45438-A2DB-462E-BAEA-04CF66222645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Customer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A18AE47-2317-49DF-ABC7-924F34A00997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5475B0-26A2-4EDE-8B18-9E2F6D0A3FE6}"/>
            </a:ext>
          </a:extLst>
        </xdr:cNvPr>
        <xdr:cNvSpPr txBox="1"/>
      </xdr:nvSpPr>
      <xdr:spPr>
        <a:xfrm>
          <a:off x="5953" y="990600"/>
          <a:ext cx="1454426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DB2189-A155-4F3B-A77C-60BB4E257360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10380</xdr:colOff>
      <xdr:row>9</xdr:row>
      <xdr:rowOff>111670</xdr:rowOff>
    </xdr:from>
    <xdr:to>
      <xdr:col>2</xdr:col>
      <xdr:colOff>319455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D26258-394B-43DB-A14C-D17E58553AB1}"/>
            </a:ext>
          </a:extLst>
        </xdr:cNvPr>
        <xdr:cNvSpPr txBox="1"/>
      </xdr:nvSpPr>
      <xdr:spPr>
        <a:xfrm>
          <a:off x="10380" y="1843755"/>
          <a:ext cx="1358290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3</xdr:col>
      <xdr:colOff>4331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33E06B-D28C-4843-8E23-EEE487E3E84E}"/>
            </a:ext>
          </a:extLst>
        </xdr:cNvPr>
        <xdr:cNvSpPr txBox="1"/>
      </xdr:nvSpPr>
      <xdr:spPr>
        <a:xfrm>
          <a:off x="4646" y="2315545"/>
          <a:ext cx="1437094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1">
            <a:ln>
              <a:solidFill>
                <a:schemeClr val="bg1">
                  <a:alpha val="0"/>
                </a:schemeClr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24E22531-C0E3-4046-892D-C7A4AB732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0B809E2-A565-49B4-9C15-F5AA6894B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5E9EAC47-E2F3-4340-880E-88FBB77D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B27E1D81-BE7A-456E-99FF-E223D85CD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23978</xdr:colOff>
      <xdr:row>12</xdr:row>
      <xdr:rowOff>4419</xdr:rowOff>
    </xdr:from>
    <xdr:to>
      <xdr:col>0</xdr:col>
      <xdr:colOff>23978</xdr:colOff>
      <xdr:row>14</xdr:row>
      <xdr:rowOff>17718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46F7DDE-F4E5-46BE-A536-84291D358CBD}"/>
            </a:ext>
          </a:extLst>
        </xdr:cNvPr>
        <xdr:cNvCxnSpPr>
          <a:cxnSpLocks noChangeAspect="1"/>
        </xdr:cNvCxnSpPr>
      </xdr:nvCxnSpPr>
      <xdr:spPr>
        <a:xfrm>
          <a:off x="23978" y="2308004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E5A7AF7-4A0C-46EA-AF3D-21785B0DA2C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Product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37F151C-E6C3-45E2-A8B0-8739F5695EE1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AD3E33-C02C-4FD6-B132-D42572744827}" name="Table2" displayName="Table2" ref="A1:K7" totalsRowShown="0" headerRowDxfId="22">
  <autoFilter ref="A1:K7" xr:uid="{48AD3E33-C02C-4FD6-B132-D42572744827}"/>
  <tableColumns count="11">
    <tableColumn id="1" xr3:uid="{53D4AB73-9490-4834-A3FC-EAAA12A0AC98}" name="Invoice No."/>
    <tableColumn id="10" xr3:uid="{C64FAB1E-5846-4BD7-99ED-222814131DD5}" name="Po No."/>
    <tableColumn id="2" xr3:uid="{D1275705-6EAB-4A02-A6BD-3F41AE08C14E}" name="Customer"/>
    <tableColumn id="3" xr3:uid="{611D88E8-31D5-493E-AD4B-B5E1CADD5317}" name="Amount" dataDxfId="21"/>
    <tableColumn id="4" xr3:uid="{8885CFEA-C519-428F-94A1-D43DAD6354D0}" name="Date Issued" dataDxfId="20"/>
    <tableColumn id="5" xr3:uid="{09A5A2F6-A920-4DF8-AA7F-93802D537595}" name="Date Due " dataDxfId="19"/>
    <tableColumn id="6" xr3:uid="{03848059-903F-4FDD-ADDF-8B6070C33B5C}" name="Status"/>
    <tableColumn id="7" xr3:uid="{F08DA926-AE0D-4BE4-980B-0C5A00824F65}" name="Invoice PDF"/>
    <tableColumn id="8" xr3:uid="{FC757849-8056-4A60-9286-E5435170569B}" name="Invoice xl File"/>
    <tableColumn id="12" xr3:uid="{223C64BA-6EC5-45A7-9A21-CB2667BFBA19}" name="Invoice Emailed"/>
    <tableColumn id="9" xr3:uid="{03FAADF8-E3BC-48A7-9F71-4A745A6A8F7A}" name="Invoice Name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95C34-3980-4E68-8BA5-2DCB8AB7BC82}" name="tblInvoiceDetails" displayName="tblInvoiceDetails" ref="A1:H18" totalsRowShown="0" headerRowDxfId="18" dataDxfId="17">
  <autoFilter ref="A1:H18" xr:uid="{8EE95C34-3980-4E68-8BA5-2DCB8AB7BC82}"/>
  <tableColumns count="8">
    <tableColumn id="1" xr3:uid="{6C812849-C759-46C7-9E4A-A5C193980998}" name="Invoice_Name" dataDxfId="16"/>
    <tableColumn id="4" xr3:uid="{5B05EC9A-A25F-4729-914C-DC9920BBD14A}" name="Item_Code" dataDxfId="15"/>
    <tableColumn id="9" xr3:uid="{72C6B80B-6D87-43F6-A2A7-E82A9BEA9D8C}" name="Description" dataDxfId="14"/>
    <tableColumn id="10" xr3:uid="{2F8D76A9-850D-4073-999E-AD08AD98D9DD}" name="Unit" dataDxfId="13"/>
    <tableColumn id="11" xr3:uid="{27AA92B2-1678-44FB-82C6-00A5E8DE178C}" name="Qty" dataDxfId="12"/>
    <tableColumn id="12" xr3:uid="{0618E5C7-ADCE-4797-8B1A-C4B63694FCD5}" name="Unit_Price" dataDxfId="11"/>
    <tableColumn id="13" xr3:uid="{61A95336-8C36-48DE-98B9-2775C9E098C3}" name="Amount" dataDxfId="10"/>
    <tableColumn id="14" xr3:uid="{99A22CC8-5A31-4C20-A8B4-74A65F902FD7}" name="Column1" dataDxfId="9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880F31-074E-4996-9F20-27767B2FCE1A}" name="Table3" displayName="Table3" ref="A1:G14" totalsRowShown="0" headerRowDxfId="8">
  <autoFilter ref="A1:G14" xr:uid="{B0880F31-074E-4996-9F20-27767B2FCE1A}"/>
  <tableColumns count="7">
    <tableColumn id="1" xr3:uid="{17DA06EE-BB37-4772-B584-29A3E80071DE}" name="SKU" dataDxfId="7"/>
    <tableColumn id="2" xr3:uid="{C232A6CE-D94D-4DFD-B059-811186550D74}" name="Product Name" dataDxfId="6"/>
    <tableColumn id="3" xr3:uid="{68F42BAD-B95A-4A15-BD8A-EB336A360506}" name="Category" dataDxfId="5"/>
    <tableColumn id="4" xr3:uid="{24694E8C-AAE0-4401-990D-FD86275F11AD}" name="Unit" dataDxfId="4"/>
    <tableColumn id="5" xr3:uid="{E0DAD40E-65C6-4676-A827-8127720E6680}" name="Cost Price" dataDxfId="3"/>
    <tableColumn id="6" xr3:uid="{1CB87F91-C55A-4FAC-A988-4DB8067D06D1}" name="Selling Price" dataDxfId="2"/>
    <tableColumn id="7" xr3:uid="{714A8D32-98D5-4331-89ED-8DC3DD80A91F}" name="Stock" dataDxfId="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6C6EB3-74D9-43C7-B456-89F0718FA254}" name="CustomerList" displayName="CustomerList" ref="A1:H26" totalsRowShown="0">
  <autoFilter ref="A1:H26" xr:uid="{9D6C6EB3-74D9-43C7-B456-89F0718FA254}"/>
  <tableColumns count="8">
    <tableColumn id="1" xr3:uid="{E0C3EEDC-157B-4C35-B762-E6C0F6CFD1D2}" name="Customer Company"/>
    <tableColumn id="2" xr3:uid="{2E2B0506-D14A-4600-96D0-2F2004325B99}" name="Adress 1"/>
    <tableColumn id="3" xr3:uid="{A9123660-C478-4008-8BDD-AC1CFB736EB8}" name="Adress 2"/>
    <tableColumn id="4" xr3:uid="{914849DC-9A9E-4214-B34E-2E6BB903B06A}" name="Adress 3"/>
    <tableColumn id="5" xr3:uid="{11B17FB8-66F2-4616-A1AF-6AB87A1E456F}" name="Adress 4"/>
    <tableColumn id="6" xr3:uid="{D8E86706-998E-4B00-9175-018901CC1928}" name="Adress 5"/>
    <tableColumn id="9" xr3:uid="{E6892F6F-6782-4271-852D-7ACEE2F0055C}" name="Phone"/>
    <tableColumn id="7" xr3:uid="{9B8131CF-BED5-4BE4-BC6F-3E6DC43ACAE4}" name="Emai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xyzinfo@xyz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2EAAB-20C7-4037-B7CE-4A2E743B1B40}">
  <sheetPr codeName="Sheet6"/>
  <dimension ref="A1:J3"/>
  <sheetViews>
    <sheetView zoomScale="130" zoomScaleNormal="130" workbookViewId="0"/>
  </sheetViews>
  <sheetFormatPr defaultRowHeight="15" x14ac:dyDescent="0.25"/>
  <cols>
    <col min="1" max="1" width="1.140625" style="37" customWidth="1"/>
    <col min="2" max="2" width="14.5703125" style="37" customWidth="1"/>
    <col min="3" max="3" width="5.85546875" style="37" customWidth="1"/>
    <col min="4" max="4" width="3" style="38" customWidth="1"/>
    <col min="5" max="5" width="2.7109375" style="38" customWidth="1"/>
    <col min="6" max="16384" width="9.140625" style="38"/>
  </cols>
  <sheetData>
    <row r="1" spans="1:10" s="36" customFormat="1" ht="8.25" customHeight="1" x14ac:dyDescent="0.25">
      <c r="A1" s="41"/>
      <c r="B1" s="41"/>
      <c r="C1" s="41"/>
    </row>
    <row r="2" spans="1:10" s="36" customFormat="1" ht="28.5" customHeight="1" x14ac:dyDescent="0.55000000000000004">
      <c r="A2" s="41"/>
      <c r="B2" s="41"/>
      <c r="C2" s="41"/>
      <c r="F2" s="40"/>
      <c r="G2" s="39"/>
      <c r="H2" s="39"/>
      <c r="I2" s="39"/>
      <c r="J2" s="39"/>
    </row>
    <row r="3" spans="1:10" s="36" customFormat="1" ht="6.75" customHeight="1" x14ac:dyDescent="0.25">
      <c r="A3" s="41"/>
      <c r="B3" s="41"/>
      <c r="C3" s="4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96BDB-9A84-442C-9BEF-A5F00D91E70E}">
  <sheetPr codeName="Sheet7"/>
  <dimension ref="A1:AB58"/>
  <sheetViews>
    <sheetView tabSelected="1" zoomScale="115" zoomScaleNormal="115" workbookViewId="0">
      <selection activeCell="J6" sqref="J6:L6"/>
    </sheetView>
  </sheetViews>
  <sheetFormatPr defaultRowHeight="15" x14ac:dyDescent="0.25"/>
  <cols>
    <col min="1" max="1" width="1.140625" style="37" customWidth="1"/>
    <col min="2" max="2" width="14.5703125" style="37" customWidth="1"/>
    <col min="3" max="3" width="5.85546875" style="37" customWidth="1"/>
    <col min="4" max="4" width="7.7109375" style="38" customWidth="1"/>
    <col min="5" max="5" width="2.7109375" style="38" customWidth="1"/>
    <col min="6" max="6" width="2.85546875" style="38" customWidth="1"/>
    <col min="7" max="7" width="4.140625" style="38" customWidth="1"/>
    <col min="8" max="8" width="9.140625" style="38"/>
    <col min="9" max="9" width="0.85546875" style="38" customWidth="1"/>
    <col min="10" max="10" width="2.5703125" style="38" customWidth="1"/>
    <col min="11" max="11" width="8" style="38" customWidth="1"/>
    <col min="12" max="12" width="14.42578125" style="38" customWidth="1"/>
    <col min="13" max="13" width="3.42578125" style="38" customWidth="1"/>
    <col min="14" max="14" width="9.140625" style="38"/>
    <col min="15" max="15" width="2.28515625" style="38" customWidth="1"/>
    <col min="16" max="16" width="2" style="38" customWidth="1"/>
    <col min="17" max="17" width="6.85546875" style="87" customWidth="1"/>
    <col min="18" max="18" width="2.42578125" style="38" customWidth="1"/>
    <col min="19" max="19" width="2.28515625" style="38" customWidth="1"/>
    <col min="20" max="20" width="9.5703125" style="38" customWidth="1"/>
    <col min="21" max="21" width="2.140625" style="38" customWidth="1"/>
    <col min="22" max="22" width="13.7109375" style="38" customWidth="1"/>
    <col min="23" max="23" width="5.5703125" style="38" customWidth="1"/>
    <col min="24" max="24" width="2.7109375" style="38" customWidth="1"/>
    <col min="25" max="25" width="9.140625" style="38" customWidth="1"/>
    <col min="26" max="26" width="4.85546875" style="38" customWidth="1"/>
    <col min="27" max="27" width="9.140625" style="38"/>
    <col min="28" max="28" width="4.7109375" style="38" customWidth="1"/>
    <col min="29" max="16384" width="9.140625" style="38"/>
  </cols>
  <sheetData>
    <row r="1" spans="1:28" s="44" customFormat="1" ht="8.25" customHeight="1" x14ac:dyDescent="0.25">
      <c r="A1" s="43"/>
      <c r="B1" s="43"/>
      <c r="C1" s="43"/>
      <c r="Q1" s="78"/>
    </row>
    <row r="2" spans="1:28" s="44" customFormat="1" ht="28.5" customHeight="1" x14ac:dyDescent="0.55000000000000004">
      <c r="A2" s="43"/>
      <c r="B2" s="43"/>
      <c r="C2" s="43"/>
      <c r="F2" s="45"/>
      <c r="G2" s="46"/>
      <c r="H2" s="46"/>
      <c r="I2" s="46"/>
      <c r="J2" s="46"/>
      <c r="K2" s="46"/>
      <c r="L2" s="46"/>
      <c r="Q2" s="78"/>
    </row>
    <row r="3" spans="1:28" s="47" customFormat="1" ht="6.75" customHeight="1" x14ac:dyDescent="0.25">
      <c r="A3" s="43"/>
      <c r="B3" s="43"/>
      <c r="C3" s="43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79"/>
    </row>
    <row r="4" spans="1:28" ht="22.5" customHeight="1" x14ac:dyDescent="0.25">
      <c r="C4" s="48"/>
      <c r="D4" s="42"/>
      <c r="E4" s="42"/>
      <c r="F4" s="53"/>
      <c r="G4" s="54"/>
      <c r="H4" s="54"/>
      <c r="I4" s="54"/>
      <c r="J4" s="54"/>
      <c r="K4" s="54"/>
      <c r="L4" s="54"/>
      <c r="M4" s="54"/>
      <c r="N4" s="53"/>
      <c r="O4" s="51"/>
      <c r="P4" s="51"/>
      <c r="Q4" s="80"/>
      <c r="R4" s="51"/>
      <c r="S4" s="51"/>
      <c r="T4" s="51"/>
      <c r="U4" s="51"/>
      <c r="V4" s="51"/>
      <c r="W4" s="51"/>
      <c r="X4" s="51"/>
      <c r="Y4" s="42"/>
    </row>
    <row r="5" spans="1:28" ht="9.75" customHeight="1" x14ac:dyDescent="0.25">
      <c r="C5" s="48"/>
      <c r="D5" s="42"/>
      <c r="E5" s="42"/>
      <c r="F5" s="57"/>
      <c r="G5" s="58"/>
      <c r="H5" s="58"/>
      <c r="I5" s="57"/>
      <c r="J5" s="57"/>
      <c r="K5" s="57"/>
      <c r="L5" s="57"/>
      <c r="M5" s="58"/>
      <c r="N5" s="51"/>
      <c r="O5" s="55"/>
      <c r="P5" s="55"/>
      <c r="Q5" s="81"/>
      <c r="R5" s="55"/>
      <c r="S5" s="55"/>
      <c r="T5" s="55"/>
      <c r="U5" s="55"/>
      <c r="V5" s="56"/>
      <c r="W5" s="56"/>
      <c r="X5" s="56"/>
      <c r="Y5" s="42"/>
      <c r="Z5" s="50"/>
      <c r="AA5" s="50"/>
      <c r="AB5" s="50"/>
    </row>
    <row r="6" spans="1:28" x14ac:dyDescent="0.25">
      <c r="C6" s="48"/>
      <c r="D6" s="42"/>
      <c r="E6" s="42"/>
      <c r="F6" s="64"/>
      <c r="G6" s="58" t="s">
        <v>65</v>
      </c>
      <c r="H6" s="58"/>
      <c r="I6" s="58"/>
      <c r="J6" s="127" t="s">
        <v>284</v>
      </c>
      <c r="K6" s="128"/>
      <c r="L6" s="129"/>
      <c r="M6" s="58"/>
      <c r="N6" s="51"/>
      <c r="O6" s="133" t="s">
        <v>52</v>
      </c>
      <c r="P6" s="133"/>
      <c r="Q6" s="133"/>
      <c r="R6" s="133"/>
      <c r="S6" s="133"/>
      <c r="T6" s="133"/>
      <c r="U6" s="133"/>
      <c r="V6" s="133"/>
      <c r="W6" s="133"/>
      <c r="X6" s="133"/>
      <c r="Y6" s="42"/>
      <c r="Z6" s="50"/>
      <c r="AA6" s="50"/>
      <c r="AB6" s="50"/>
    </row>
    <row r="7" spans="1:28" ht="7.5" customHeight="1" x14ac:dyDescent="0.25">
      <c r="C7" s="48"/>
      <c r="D7" s="42"/>
      <c r="E7" s="42"/>
      <c r="F7" s="64"/>
      <c r="G7" s="58"/>
      <c r="H7" s="58"/>
      <c r="I7" s="58"/>
      <c r="J7" s="58"/>
      <c r="K7" s="58"/>
      <c r="L7" s="58"/>
      <c r="M7" s="58"/>
      <c r="N7" s="51"/>
      <c r="O7" s="59"/>
      <c r="P7" s="59"/>
      <c r="Q7" s="82"/>
      <c r="R7" s="59"/>
      <c r="S7" s="59"/>
      <c r="T7" s="59"/>
      <c r="U7" s="59"/>
      <c r="V7" s="59"/>
      <c r="W7" s="59"/>
      <c r="X7" s="59"/>
      <c r="Y7" s="42"/>
      <c r="Z7" s="50"/>
      <c r="AA7" s="50"/>
      <c r="AB7" s="50"/>
    </row>
    <row r="8" spans="1:28" x14ac:dyDescent="0.25">
      <c r="C8" s="48"/>
      <c r="D8" s="42"/>
      <c r="E8" s="42"/>
      <c r="F8" s="64"/>
      <c r="G8" s="58"/>
      <c r="H8" s="58"/>
      <c r="I8" s="58"/>
      <c r="J8" s="58"/>
      <c r="K8" s="58"/>
      <c r="L8" s="58"/>
      <c r="M8" s="58"/>
      <c r="N8" s="51"/>
      <c r="O8" s="60"/>
      <c r="P8" s="131" t="s">
        <v>57</v>
      </c>
      <c r="Q8" s="131"/>
      <c r="R8" s="131"/>
      <c r="S8" s="131"/>
      <c r="T8" s="131"/>
      <c r="U8" s="61"/>
      <c r="V8" s="134">
        <v>11</v>
      </c>
      <c r="W8" s="135"/>
      <c r="X8" s="60"/>
      <c r="Y8" s="42"/>
      <c r="Z8" s="50"/>
      <c r="AA8" s="50"/>
      <c r="AB8" s="50"/>
    </row>
    <row r="9" spans="1:28" x14ac:dyDescent="0.25">
      <c r="C9" s="48"/>
      <c r="D9" s="42"/>
      <c r="E9" s="42"/>
      <c r="F9" s="64"/>
      <c r="G9" s="58"/>
      <c r="H9" s="58"/>
      <c r="I9" s="58"/>
      <c r="J9" s="58"/>
      <c r="K9" s="58"/>
      <c r="L9" s="58"/>
      <c r="M9" s="58"/>
      <c r="N9" s="51"/>
      <c r="O9" s="60"/>
      <c r="P9" s="131" t="s">
        <v>58</v>
      </c>
      <c r="Q9" s="131"/>
      <c r="R9" s="131"/>
      <c r="S9" s="131"/>
      <c r="T9" s="131"/>
      <c r="U9" s="61"/>
      <c r="V9" s="134">
        <v>223</v>
      </c>
      <c r="W9" s="135"/>
      <c r="X9" s="60"/>
      <c r="Y9" s="42"/>
      <c r="Z9" s="50"/>
      <c r="AA9" s="50"/>
      <c r="AB9" s="50"/>
    </row>
    <row r="10" spans="1:28" x14ac:dyDescent="0.25">
      <c r="C10" s="48"/>
      <c r="D10" s="42"/>
      <c r="E10" s="42"/>
      <c r="F10" s="64"/>
      <c r="G10" s="58"/>
      <c r="H10" s="58"/>
      <c r="I10" s="58"/>
      <c r="J10" s="58"/>
      <c r="K10" s="58"/>
      <c r="L10" s="58"/>
      <c r="M10" s="58"/>
      <c r="N10" s="51"/>
      <c r="O10" s="60"/>
      <c r="P10" s="131" t="s">
        <v>59</v>
      </c>
      <c r="Q10" s="131"/>
      <c r="R10" s="131"/>
      <c r="S10" s="131"/>
      <c r="T10" s="131"/>
      <c r="U10" s="61"/>
      <c r="V10" s="136">
        <v>46259</v>
      </c>
      <c r="W10" s="135"/>
      <c r="X10" s="60"/>
      <c r="Y10" s="42"/>
      <c r="Z10" s="50"/>
      <c r="AA10" s="50"/>
      <c r="AB10" s="50"/>
    </row>
    <row r="11" spans="1:28" x14ac:dyDescent="0.25">
      <c r="C11" s="48"/>
      <c r="D11" s="42"/>
      <c r="E11" s="42"/>
      <c r="N11" s="51"/>
      <c r="O11" s="60"/>
      <c r="P11" s="131" t="s">
        <v>60</v>
      </c>
      <c r="Q11" s="131"/>
      <c r="R11" s="131"/>
      <c r="S11" s="131"/>
      <c r="T11" s="131"/>
      <c r="U11" s="61"/>
      <c r="V11" s="134">
        <v>1232</v>
      </c>
      <c r="W11" s="135"/>
      <c r="X11" s="60"/>
      <c r="Y11" s="42"/>
      <c r="Z11" s="50"/>
      <c r="AA11" s="50"/>
      <c r="AB11" s="50"/>
    </row>
    <row r="12" spans="1:28" x14ac:dyDescent="0.25">
      <c r="C12" s="48"/>
      <c r="D12" s="42"/>
      <c r="E12" s="42"/>
      <c r="N12" s="52"/>
      <c r="O12" s="62"/>
      <c r="P12" s="62"/>
      <c r="Q12" s="76"/>
      <c r="R12" s="62"/>
      <c r="S12" s="62"/>
      <c r="T12" s="62"/>
      <c r="U12" s="62"/>
      <c r="V12" s="62"/>
      <c r="W12" s="62"/>
      <c r="X12" s="62"/>
      <c r="Z12" s="50"/>
      <c r="AA12" s="50"/>
      <c r="AB12" s="50"/>
    </row>
    <row r="13" spans="1:28" ht="7.5" customHeight="1" x14ac:dyDescent="0.25">
      <c r="C13" s="48"/>
      <c r="D13" s="42"/>
      <c r="E13" s="42"/>
      <c r="F13" s="65"/>
      <c r="G13" s="52"/>
      <c r="H13" s="52"/>
      <c r="I13" s="52"/>
      <c r="J13" s="52"/>
      <c r="K13" s="52"/>
      <c r="L13" s="52"/>
      <c r="M13" s="52"/>
      <c r="N13" s="52"/>
      <c r="O13" s="51"/>
      <c r="P13" s="51"/>
      <c r="Q13" s="80"/>
      <c r="R13" s="51"/>
      <c r="S13" s="51"/>
      <c r="T13" s="51"/>
      <c r="U13" s="51"/>
      <c r="V13" s="51"/>
      <c r="W13" s="51"/>
      <c r="X13" s="51"/>
      <c r="Z13" s="50"/>
      <c r="AA13" s="50"/>
      <c r="AB13" s="50"/>
    </row>
    <row r="14" spans="1:28" ht="8.25" customHeight="1" x14ac:dyDescent="0.25">
      <c r="C14" s="48"/>
      <c r="D14" s="42"/>
      <c r="E14" s="42"/>
      <c r="F14" s="65"/>
      <c r="G14" s="52"/>
      <c r="H14" s="52"/>
      <c r="I14" s="52"/>
      <c r="J14" s="52"/>
      <c r="K14" s="52"/>
      <c r="L14" s="52"/>
      <c r="M14" s="52"/>
      <c r="N14" s="52"/>
      <c r="O14" s="51"/>
      <c r="P14" s="51"/>
      <c r="Q14" s="80"/>
      <c r="R14" s="51"/>
      <c r="S14" s="51"/>
      <c r="T14" s="51"/>
      <c r="U14" s="51"/>
      <c r="V14" s="51"/>
      <c r="W14" s="51"/>
      <c r="X14" s="51"/>
      <c r="Z14" s="50"/>
      <c r="AA14" s="50"/>
      <c r="AB14" s="50"/>
    </row>
    <row r="15" spans="1:28" ht="6.75" customHeight="1" x14ac:dyDescent="0.25">
      <c r="C15" s="48"/>
      <c r="D15" s="42"/>
      <c r="E15" s="42"/>
      <c r="F15" s="64"/>
      <c r="G15" s="58"/>
      <c r="H15" s="58"/>
      <c r="I15" s="58"/>
      <c r="J15" s="58"/>
      <c r="K15" s="58"/>
      <c r="L15" s="58"/>
      <c r="M15" s="58"/>
      <c r="N15" s="52"/>
      <c r="O15" s="56"/>
      <c r="P15" s="56"/>
      <c r="Q15" s="83"/>
      <c r="R15" s="56"/>
      <c r="S15" s="56"/>
      <c r="T15" s="56"/>
      <c r="U15" s="56"/>
      <c r="V15" s="56"/>
      <c r="W15" s="56"/>
      <c r="X15" s="56"/>
      <c r="Z15" s="50"/>
      <c r="AA15" s="50"/>
      <c r="AB15" s="50"/>
    </row>
    <row r="16" spans="1:28" x14ac:dyDescent="0.25">
      <c r="C16" s="48"/>
      <c r="D16" s="42"/>
      <c r="E16" s="42"/>
      <c r="F16" s="64"/>
      <c r="G16" s="58" t="s">
        <v>55</v>
      </c>
      <c r="H16" s="58"/>
      <c r="I16" s="58"/>
      <c r="J16" s="50"/>
      <c r="K16" s="127" t="s">
        <v>112</v>
      </c>
      <c r="L16" s="129"/>
      <c r="M16" s="58"/>
      <c r="N16" s="52"/>
      <c r="O16" s="132" t="s">
        <v>3</v>
      </c>
      <c r="P16" s="132"/>
      <c r="Q16" s="132"/>
      <c r="R16" s="132"/>
      <c r="S16" s="132"/>
      <c r="T16" s="132"/>
      <c r="U16" s="132"/>
      <c r="V16" s="132"/>
      <c r="W16" s="132"/>
      <c r="X16" s="132"/>
      <c r="Z16" s="50"/>
      <c r="AA16" s="50"/>
      <c r="AB16" s="50"/>
    </row>
    <row r="17" spans="3:25" ht="8.25" customHeight="1" x14ac:dyDescent="0.25">
      <c r="C17" s="48"/>
      <c r="D17" s="42"/>
      <c r="E17" s="42"/>
      <c r="F17" s="64"/>
      <c r="G17" s="58"/>
      <c r="H17" s="58"/>
      <c r="I17" s="58"/>
      <c r="J17" s="58"/>
      <c r="K17" s="58"/>
      <c r="L17" s="58"/>
      <c r="M17" s="58"/>
      <c r="N17" s="52"/>
      <c r="O17" s="59"/>
      <c r="P17" s="59"/>
      <c r="Q17" s="82"/>
      <c r="R17" s="59"/>
      <c r="S17" s="59"/>
      <c r="T17" s="59"/>
      <c r="U17" s="59"/>
      <c r="V17" s="59"/>
      <c r="W17" s="59"/>
      <c r="X17" s="59"/>
    </row>
    <row r="18" spans="3:25" x14ac:dyDescent="0.25">
      <c r="C18" s="48"/>
      <c r="D18" s="42"/>
      <c r="E18" s="42"/>
      <c r="F18" s="65"/>
      <c r="G18" s="52"/>
      <c r="H18" s="52"/>
      <c r="I18" s="52"/>
      <c r="J18" s="52"/>
      <c r="K18" s="52"/>
      <c r="L18" s="52"/>
      <c r="M18" s="52"/>
      <c r="N18" s="51"/>
      <c r="O18" s="60"/>
      <c r="P18" s="60"/>
      <c r="Q18" s="131" t="s">
        <v>61</v>
      </c>
      <c r="R18" s="131"/>
      <c r="S18" s="61"/>
      <c r="T18" s="130" t="str">
        <f>IFERROR(VLOOKUP($K$16,'Customer Database'!A:H,1,FALSE),"")</f>
        <v>PT Arunika Retail Indonesia</v>
      </c>
      <c r="U18" s="130"/>
      <c r="V18" s="130"/>
      <c r="W18" s="130"/>
      <c r="X18" s="60"/>
      <c r="Y18" s="42"/>
    </row>
    <row r="19" spans="3:25" x14ac:dyDescent="0.25">
      <c r="C19" s="48"/>
      <c r="D19" s="42"/>
      <c r="E19" s="42"/>
      <c r="F19" s="51"/>
      <c r="G19" s="52"/>
      <c r="H19" s="51"/>
      <c r="I19" s="51"/>
      <c r="J19" s="52"/>
      <c r="K19" s="52"/>
      <c r="L19" s="52"/>
      <c r="M19" s="52"/>
      <c r="N19" s="51"/>
      <c r="O19" s="62"/>
      <c r="P19" s="62"/>
      <c r="Q19" s="105" t="s">
        <v>62</v>
      </c>
      <c r="R19" s="105"/>
      <c r="S19" s="88"/>
      <c r="T19" s="123" t="str">
        <f>IFERROR(_xlfn.TEXTJOIN(", ",TRUE,VLOOKUP(K16,'Customer Database'!A:E,2,FALSE),VLOOKUP(K16,'Customer Database'!A:E,3,FALSE),VLOOKUP(K16,'Customer Database'!A:E,4,FALSE),VLOOKUP(K16,'Customer Database'!A:E,5,FALSE),VLOOKUP(K16,'Customer Database'!A:F,6,FALSE)),"")</f>
        <v>Menara Arunika Lt. 8, Jl. HR Rasuna Said Kav. C-11, RT 006/RW 004, Kel. Karet Kuningan, Kec. Setiabudi, Jakarta Selatan, DKI Jakarta, 12940, Indonesia</v>
      </c>
      <c r="U19" s="123"/>
      <c r="V19" s="123"/>
      <c r="W19" s="123"/>
      <c r="X19" s="62"/>
      <c r="Y19" s="42"/>
    </row>
    <row r="20" spans="3:25" ht="9.75" customHeight="1" x14ac:dyDescent="0.25">
      <c r="C20" s="48"/>
      <c r="D20" s="42"/>
      <c r="E20" s="42"/>
      <c r="F20" s="57"/>
      <c r="G20" s="58"/>
      <c r="H20" s="57"/>
      <c r="I20" s="57"/>
      <c r="J20" s="58"/>
      <c r="K20" s="58"/>
      <c r="L20" s="58"/>
      <c r="M20" s="58"/>
      <c r="N20" s="51"/>
      <c r="O20" s="56"/>
      <c r="P20" s="56"/>
      <c r="Q20" s="106"/>
      <c r="R20" s="106"/>
      <c r="S20" s="89"/>
      <c r="T20" s="124"/>
      <c r="U20" s="124"/>
      <c r="V20" s="124"/>
      <c r="W20" s="124"/>
      <c r="X20" s="56"/>
      <c r="Y20" s="42"/>
    </row>
    <row r="21" spans="3:25" ht="15.75" customHeight="1" x14ac:dyDescent="0.25">
      <c r="C21" s="48"/>
      <c r="D21" s="42"/>
      <c r="E21" s="42"/>
      <c r="F21" s="57"/>
      <c r="G21" s="58" t="s">
        <v>111</v>
      </c>
      <c r="H21" s="57"/>
      <c r="I21" s="57"/>
      <c r="J21" s="58"/>
      <c r="K21" s="58"/>
      <c r="L21" s="58"/>
      <c r="M21" s="58"/>
      <c r="N21" s="51"/>
      <c r="O21" s="56"/>
      <c r="P21" s="56"/>
      <c r="Q21" s="106"/>
      <c r="R21" s="106"/>
      <c r="S21" s="89"/>
      <c r="T21" s="124"/>
      <c r="U21" s="124"/>
      <c r="V21" s="124"/>
      <c r="W21" s="124"/>
      <c r="X21" s="56"/>
      <c r="Y21" s="42"/>
    </row>
    <row r="22" spans="3:25" ht="15.75" customHeight="1" x14ac:dyDescent="0.25">
      <c r="C22" s="48"/>
      <c r="D22" s="42"/>
      <c r="E22" s="42"/>
      <c r="F22" s="57"/>
      <c r="G22" s="103"/>
      <c r="H22" s="103"/>
      <c r="I22" s="103"/>
      <c r="J22" s="103"/>
      <c r="K22" s="103"/>
      <c r="L22" s="103"/>
      <c r="M22" s="58"/>
      <c r="N22" s="51"/>
      <c r="O22" s="56"/>
      <c r="P22" s="56"/>
      <c r="Q22" s="106"/>
      <c r="R22" s="106"/>
      <c r="S22" s="89"/>
      <c r="T22" s="124"/>
      <c r="U22" s="124"/>
      <c r="V22" s="124"/>
      <c r="W22" s="124"/>
      <c r="X22" s="56"/>
      <c r="Y22" s="42"/>
    </row>
    <row r="23" spans="3:25" ht="15.75" customHeight="1" x14ac:dyDescent="0.25">
      <c r="C23" s="48"/>
      <c r="D23" s="42"/>
      <c r="E23" s="42"/>
      <c r="F23" s="57"/>
      <c r="G23" s="104"/>
      <c r="H23" s="104"/>
      <c r="I23" s="104"/>
      <c r="J23" s="104"/>
      <c r="K23" s="104"/>
      <c r="L23" s="104"/>
      <c r="M23" s="58"/>
      <c r="N23" s="51"/>
      <c r="O23" s="56"/>
      <c r="P23" s="56"/>
      <c r="Q23" s="106"/>
      <c r="R23" s="106"/>
      <c r="S23" s="89"/>
      <c r="T23" s="124"/>
      <c r="U23" s="124"/>
      <c r="V23" s="124"/>
      <c r="W23" s="124"/>
      <c r="X23" s="56"/>
      <c r="Y23" s="42"/>
    </row>
    <row r="24" spans="3:25" ht="15.75" customHeight="1" x14ac:dyDescent="0.25">
      <c r="C24" s="48"/>
      <c r="D24" s="42"/>
      <c r="E24" s="42"/>
      <c r="F24" s="57"/>
      <c r="G24" s="104"/>
      <c r="H24" s="104"/>
      <c r="I24" s="104"/>
      <c r="J24" s="104"/>
      <c r="K24" s="104"/>
      <c r="L24" s="104"/>
      <c r="M24" s="58"/>
      <c r="N24" s="51"/>
      <c r="O24" s="59"/>
      <c r="P24" s="59"/>
      <c r="Q24" s="107"/>
      <c r="R24" s="107"/>
      <c r="S24" s="90"/>
      <c r="T24" s="125"/>
      <c r="U24" s="125"/>
      <c r="V24" s="125"/>
      <c r="W24" s="125"/>
      <c r="X24" s="59"/>
      <c r="Y24" s="42"/>
    </row>
    <row r="25" spans="3:25" x14ac:dyDescent="0.25">
      <c r="C25" s="48"/>
      <c r="D25" s="42"/>
      <c r="E25" s="42"/>
      <c r="F25" s="57"/>
      <c r="G25" s="104"/>
      <c r="H25" s="104"/>
      <c r="I25" s="104"/>
      <c r="J25" s="104"/>
      <c r="K25" s="104"/>
      <c r="L25" s="104"/>
      <c r="M25" s="58"/>
      <c r="N25" s="51"/>
      <c r="O25" s="60"/>
      <c r="P25" s="60"/>
      <c r="Q25" s="131" t="s">
        <v>63</v>
      </c>
      <c r="R25" s="131"/>
      <c r="S25" s="61"/>
      <c r="T25" s="126">
        <f>IFERROR(VLOOKUP($K$16,'Customer Database'!A:H,7,FALSE),"")</f>
        <v>81234567001</v>
      </c>
      <c r="U25" s="126"/>
      <c r="V25" s="126"/>
      <c r="W25" s="126"/>
      <c r="X25" s="60"/>
      <c r="Y25" s="42"/>
    </row>
    <row r="26" spans="3:25" x14ac:dyDescent="0.25">
      <c r="C26" s="48"/>
      <c r="D26" s="42"/>
      <c r="E26" s="42"/>
      <c r="F26" s="57"/>
      <c r="G26" s="104"/>
      <c r="H26" s="104"/>
      <c r="I26" s="104"/>
      <c r="J26" s="104"/>
      <c r="K26" s="104"/>
      <c r="L26" s="104"/>
      <c r="M26" s="58"/>
      <c r="N26" s="51"/>
      <c r="O26" s="60"/>
      <c r="P26" s="60"/>
      <c r="Q26" s="131" t="s">
        <v>64</v>
      </c>
      <c r="R26" s="131"/>
      <c r="S26" s="61"/>
      <c r="T26" s="126" t="str">
        <f>IFERROR(VLOOKUP($K$16,'Customer Database'!A:H,8,FALSE),"")</f>
        <v>finance@arunikaretail.co.id</v>
      </c>
      <c r="U26" s="126"/>
      <c r="V26" s="126"/>
      <c r="W26" s="126"/>
      <c r="X26" s="60"/>
      <c r="Y26" s="42"/>
    </row>
    <row r="27" spans="3:25" x14ac:dyDescent="0.25">
      <c r="C27" s="48"/>
      <c r="D27" s="42"/>
      <c r="E27" s="42"/>
      <c r="F27" s="57"/>
      <c r="G27" s="58"/>
      <c r="H27" s="58"/>
      <c r="I27" s="58"/>
      <c r="J27" s="58"/>
      <c r="K27" s="58"/>
      <c r="L27" s="58"/>
      <c r="M27" s="58"/>
      <c r="N27" s="52"/>
      <c r="O27" s="62"/>
      <c r="P27" s="62"/>
      <c r="Q27" s="76"/>
      <c r="R27" s="62"/>
      <c r="S27" s="62"/>
      <c r="T27" s="62"/>
      <c r="U27" s="62"/>
      <c r="V27" s="62"/>
      <c r="W27" s="62"/>
      <c r="X27" s="62"/>
    </row>
    <row r="28" spans="3:25" x14ac:dyDescent="0.25">
      <c r="C28" s="48"/>
      <c r="D28" s="42"/>
      <c r="E28" s="42"/>
      <c r="F28" s="51"/>
      <c r="G28" s="52"/>
      <c r="H28" s="52"/>
      <c r="I28" s="52"/>
      <c r="J28" s="52"/>
      <c r="K28" s="52"/>
      <c r="L28" s="52"/>
      <c r="M28" s="52"/>
      <c r="N28" s="51"/>
      <c r="O28" s="51"/>
      <c r="P28" s="51"/>
      <c r="Q28" s="80"/>
      <c r="R28" s="51"/>
      <c r="S28" s="51"/>
      <c r="T28" s="51"/>
      <c r="U28" s="51"/>
      <c r="V28" s="51"/>
      <c r="W28" s="51"/>
      <c r="X28" s="51"/>
    </row>
    <row r="29" spans="3:25" x14ac:dyDescent="0.25">
      <c r="C29" s="48"/>
      <c r="D29" s="42"/>
      <c r="E29" s="42"/>
      <c r="F29" s="51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84"/>
      <c r="R29" s="52"/>
      <c r="S29" s="52"/>
      <c r="T29" s="52"/>
      <c r="U29" s="52"/>
      <c r="V29" s="52"/>
      <c r="W29" s="52"/>
      <c r="X29" s="52"/>
    </row>
    <row r="30" spans="3:25" x14ac:dyDescent="0.25">
      <c r="C30" s="48"/>
      <c r="D30" s="42"/>
      <c r="E30" s="42"/>
      <c r="F30" s="63"/>
      <c r="G30" s="56" t="s">
        <v>53</v>
      </c>
      <c r="H30" s="63"/>
      <c r="I30" s="63"/>
      <c r="J30" s="63"/>
      <c r="K30" s="63"/>
      <c r="L30" s="63"/>
      <c r="M30" s="63"/>
      <c r="N30" s="63"/>
      <c r="O30" s="63"/>
      <c r="P30" s="63"/>
      <c r="Q30" s="85"/>
      <c r="R30" s="63"/>
      <c r="S30" s="63"/>
      <c r="T30" s="63"/>
      <c r="U30" s="63"/>
      <c r="V30" s="63"/>
      <c r="W30" s="63"/>
      <c r="X30" s="63"/>
    </row>
    <row r="31" spans="3:25" ht="3.75" customHeight="1" x14ac:dyDescent="0.25">
      <c r="C31" s="48"/>
      <c r="D31" s="42"/>
      <c r="E31" s="42"/>
      <c r="F31" s="63"/>
      <c r="G31" s="56"/>
      <c r="H31" s="63"/>
      <c r="I31" s="63"/>
      <c r="J31" s="63"/>
      <c r="K31" s="63"/>
      <c r="L31" s="63"/>
      <c r="M31" s="63"/>
      <c r="N31" s="63"/>
      <c r="O31" s="63"/>
      <c r="P31" s="63"/>
      <c r="Q31" s="85"/>
      <c r="R31" s="63"/>
      <c r="S31" s="63"/>
      <c r="T31" s="63"/>
      <c r="U31" s="63"/>
      <c r="V31" s="63"/>
      <c r="W31" s="63"/>
      <c r="X31" s="63"/>
    </row>
    <row r="32" spans="3:25" x14ac:dyDescent="0.25">
      <c r="C32" s="48"/>
      <c r="D32" s="42"/>
      <c r="E32" s="42"/>
      <c r="F32" s="60"/>
      <c r="G32" s="67" t="s">
        <v>54</v>
      </c>
      <c r="H32" s="111" t="s">
        <v>68</v>
      </c>
      <c r="I32" s="111"/>
      <c r="J32" s="111"/>
      <c r="K32" s="109" t="s">
        <v>5</v>
      </c>
      <c r="L32" s="109"/>
      <c r="M32" s="109"/>
      <c r="N32" s="109" t="s">
        <v>71</v>
      </c>
      <c r="O32" s="109"/>
      <c r="P32" s="109" t="s">
        <v>6</v>
      </c>
      <c r="Q32" s="109"/>
      <c r="R32" s="109" t="s">
        <v>109</v>
      </c>
      <c r="S32" s="109"/>
      <c r="T32" s="109"/>
      <c r="U32" s="109" t="s">
        <v>8</v>
      </c>
      <c r="V32" s="109"/>
      <c r="W32" s="109"/>
      <c r="X32" s="60"/>
    </row>
    <row r="33" spans="3:24" x14ac:dyDescent="0.25">
      <c r="C33" s="48"/>
      <c r="D33" s="42"/>
      <c r="E33" s="42"/>
      <c r="F33" s="60"/>
      <c r="G33" s="67">
        <v>1</v>
      </c>
      <c r="H33" s="119" t="s">
        <v>97</v>
      </c>
      <c r="I33" s="120"/>
      <c r="J33" s="121"/>
      <c r="K33" s="118" t="str">
        <f>IFERROR(VLOOKUP($H33,'Product Database'!A:G,2,FALSE),"")</f>
        <v>LED Desk Lamp</v>
      </c>
      <c r="L33" s="118"/>
      <c r="M33" s="118"/>
      <c r="N33" s="109" t="str">
        <f>IFERROR(VLOOKUP($H33,'Product Database'!A:G,4,FALSE),"")</f>
        <v>Pcs</v>
      </c>
      <c r="O33" s="109"/>
      <c r="P33" s="112">
        <v>11</v>
      </c>
      <c r="Q33" s="113"/>
      <c r="R33" s="108">
        <f>IFERROR(VLOOKUP($H33,'Product Database'!A:G,6,FALSE),"")</f>
        <v>249000</v>
      </c>
      <c r="S33" s="108"/>
      <c r="T33" s="108"/>
      <c r="U33" s="108">
        <f>IFERROR(P33*R33,"")</f>
        <v>2739000</v>
      </c>
      <c r="V33" s="109"/>
      <c r="W33" s="109"/>
      <c r="X33" s="66"/>
    </row>
    <row r="34" spans="3:24" x14ac:dyDescent="0.25">
      <c r="C34" s="48"/>
      <c r="D34" s="42"/>
      <c r="E34" s="42"/>
      <c r="F34" s="60"/>
      <c r="G34" s="67" t="str">
        <f>IF(H34&lt;&gt;"",G33+1,"")</f>
        <v/>
      </c>
      <c r="H34" s="119"/>
      <c r="I34" s="120"/>
      <c r="J34" s="121"/>
      <c r="K34" s="118" t="str">
        <f>IFERROR(VLOOKUP($H34,'Product Database'!A:G,2,FALSE),"")</f>
        <v/>
      </c>
      <c r="L34" s="118"/>
      <c r="M34" s="118"/>
      <c r="N34" s="109" t="str">
        <f>IFERROR(VLOOKUP($H34,'Product Database'!A:G,4,FALSE),"")</f>
        <v/>
      </c>
      <c r="O34" s="109"/>
      <c r="P34" s="112"/>
      <c r="Q34" s="113"/>
      <c r="R34" s="108" t="str">
        <f>IFERROR(VLOOKUP($H34,'Product Database'!A:G,6,FALSE),"")</f>
        <v/>
      </c>
      <c r="S34" s="108"/>
      <c r="T34" s="108"/>
      <c r="U34" s="108" t="str">
        <f t="shared" ref="U34:U45" si="0">IFERROR(P34*R34,"")</f>
        <v/>
      </c>
      <c r="V34" s="109"/>
      <c r="W34" s="109"/>
      <c r="X34" s="66"/>
    </row>
    <row r="35" spans="3:24" x14ac:dyDescent="0.25">
      <c r="C35" s="48"/>
      <c r="D35" s="42"/>
      <c r="E35" s="42"/>
      <c r="F35" s="60"/>
      <c r="G35" s="67" t="str">
        <f t="shared" ref="G35:G45" si="1">IF(H35&lt;&gt;"",G34+1,"")</f>
        <v/>
      </c>
      <c r="H35" s="119"/>
      <c r="I35" s="120"/>
      <c r="J35" s="121"/>
      <c r="K35" s="118" t="str">
        <f>IFERROR(VLOOKUP($H35,'Product Database'!A:G,2,FALSE),"")</f>
        <v/>
      </c>
      <c r="L35" s="118"/>
      <c r="M35" s="118"/>
      <c r="N35" s="109" t="str">
        <f>IFERROR(VLOOKUP($H35,'Product Database'!A:G,4,FALSE),"")</f>
        <v/>
      </c>
      <c r="O35" s="109"/>
      <c r="P35" s="112"/>
      <c r="Q35" s="113"/>
      <c r="R35" s="108" t="str">
        <f>IFERROR(VLOOKUP($H35,'Product Database'!A:G,6,FALSE),"")</f>
        <v/>
      </c>
      <c r="S35" s="108"/>
      <c r="T35" s="108"/>
      <c r="U35" s="108" t="str">
        <f t="shared" si="0"/>
        <v/>
      </c>
      <c r="V35" s="109"/>
      <c r="W35" s="109"/>
      <c r="X35" s="66"/>
    </row>
    <row r="36" spans="3:24" x14ac:dyDescent="0.25">
      <c r="C36" s="48"/>
      <c r="D36" s="42"/>
      <c r="E36" s="42"/>
      <c r="F36" s="60"/>
      <c r="G36" s="67" t="str">
        <f t="shared" si="1"/>
        <v/>
      </c>
      <c r="H36" s="119"/>
      <c r="I36" s="120"/>
      <c r="J36" s="121"/>
      <c r="K36" s="118" t="str">
        <f>IFERROR(VLOOKUP($H36,'Product Database'!A:G,2,FALSE),"")</f>
        <v/>
      </c>
      <c r="L36" s="118"/>
      <c r="M36" s="118"/>
      <c r="N36" s="109" t="str">
        <f>IFERROR(VLOOKUP($H36,'Product Database'!A:G,4,FALSE),"")</f>
        <v/>
      </c>
      <c r="O36" s="109"/>
      <c r="P36" s="112"/>
      <c r="Q36" s="113"/>
      <c r="R36" s="108" t="str">
        <f>IFERROR(VLOOKUP($H36,'Product Database'!A:G,6,FALSE),"")</f>
        <v/>
      </c>
      <c r="S36" s="108"/>
      <c r="T36" s="108"/>
      <c r="U36" s="108" t="str">
        <f t="shared" si="0"/>
        <v/>
      </c>
      <c r="V36" s="109"/>
      <c r="W36" s="109"/>
      <c r="X36" s="66"/>
    </row>
    <row r="37" spans="3:24" x14ac:dyDescent="0.25">
      <c r="C37" s="48"/>
      <c r="D37" s="42"/>
      <c r="E37" s="42"/>
      <c r="F37" s="60"/>
      <c r="G37" s="67" t="str">
        <f t="shared" si="1"/>
        <v/>
      </c>
      <c r="H37" s="119"/>
      <c r="I37" s="120"/>
      <c r="J37" s="121"/>
      <c r="K37" s="118" t="str">
        <f>IFERROR(VLOOKUP($H37,'Product Database'!A:G,2,FALSE),"")</f>
        <v/>
      </c>
      <c r="L37" s="118"/>
      <c r="M37" s="118"/>
      <c r="N37" s="109" t="str">
        <f>IFERROR(VLOOKUP($H37,'Product Database'!A:G,4,FALSE),"")</f>
        <v/>
      </c>
      <c r="O37" s="109"/>
      <c r="P37" s="112"/>
      <c r="Q37" s="113"/>
      <c r="R37" s="108" t="str">
        <f>IFERROR(VLOOKUP($H37,'Product Database'!A:G,6,FALSE),"")</f>
        <v/>
      </c>
      <c r="S37" s="108"/>
      <c r="T37" s="108"/>
      <c r="U37" s="108" t="str">
        <f t="shared" si="0"/>
        <v/>
      </c>
      <c r="V37" s="109"/>
      <c r="W37" s="109"/>
      <c r="X37" s="66"/>
    </row>
    <row r="38" spans="3:24" x14ac:dyDescent="0.25">
      <c r="C38" s="48"/>
      <c r="D38" s="42"/>
      <c r="E38" s="42"/>
      <c r="F38" s="60"/>
      <c r="G38" s="67" t="str">
        <f t="shared" si="1"/>
        <v/>
      </c>
      <c r="H38" s="119"/>
      <c r="I38" s="120"/>
      <c r="J38" s="121"/>
      <c r="K38" s="118" t="str">
        <f>IFERROR(VLOOKUP($H38,'Product Database'!A:G,2,FALSE),"")</f>
        <v/>
      </c>
      <c r="L38" s="118"/>
      <c r="M38" s="118"/>
      <c r="N38" s="109" t="str">
        <f>IFERROR(VLOOKUP($H38,'Product Database'!A:G,4,FALSE),"")</f>
        <v/>
      </c>
      <c r="O38" s="109"/>
      <c r="P38" s="112"/>
      <c r="Q38" s="113"/>
      <c r="R38" s="108" t="str">
        <f>IFERROR(VLOOKUP($H38,'Product Database'!A:G,6,FALSE),"")</f>
        <v/>
      </c>
      <c r="S38" s="108"/>
      <c r="T38" s="108"/>
      <c r="U38" s="108" t="str">
        <f t="shared" si="0"/>
        <v/>
      </c>
      <c r="V38" s="109"/>
      <c r="W38" s="109"/>
      <c r="X38" s="66"/>
    </row>
    <row r="39" spans="3:24" x14ac:dyDescent="0.25">
      <c r="C39" s="48"/>
      <c r="D39" s="42"/>
      <c r="E39" s="42"/>
      <c r="F39" s="60"/>
      <c r="G39" s="67" t="str">
        <f t="shared" si="1"/>
        <v/>
      </c>
      <c r="H39" s="119"/>
      <c r="I39" s="120"/>
      <c r="J39" s="121"/>
      <c r="K39" s="118" t="str">
        <f>IFERROR(VLOOKUP($H39,'Product Database'!A:G,2,FALSE),"")</f>
        <v/>
      </c>
      <c r="L39" s="118"/>
      <c r="M39" s="118"/>
      <c r="N39" s="109" t="str">
        <f>IFERROR(VLOOKUP($H39,'Product Database'!A:G,4,FALSE),"")</f>
        <v/>
      </c>
      <c r="O39" s="109"/>
      <c r="P39" s="112"/>
      <c r="Q39" s="113"/>
      <c r="R39" s="108" t="str">
        <f>IFERROR(VLOOKUP($H39,'Product Database'!A:G,6,FALSE),"")</f>
        <v/>
      </c>
      <c r="S39" s="108"/>
      <c r="T39" s="108"/>
      <c r="U39" s="108" t="str">
        <f t="shared" si="0"/>
        <v/>
      </c>
      <c r="V39" s="109"/>
      <c r="W39" s="109"/>
      <c r="X39" s="66"/>
    </row>
    <row r="40" spans="3:24" x14ac:dyDescent="0.25">
      <c r="C40" s="48"/>
      <c r="D40" s="42"/>
      <c r="E40" s="42"/>
      <c r="F40" s="60"/>
      <c r="G40" s="67" t="str">
        <f t="shared" si="1"/>
        <v/>
      </c>
      <c r="H40" s="119"/>
      <c r="I40" s="120"/>
      <c r="J40" s="121"/>
      <c r="K40" s="118" t="str">
        <f>IFERROR(VLOOKUP($H40,'Product Database'!A:G,2,FALSE),"")</f>
        <v/>
      </c>
      <c r="L40" s="118"/>
      <c r="M40" s="118"/>
      <c r="N40" s="109" t="str">
        <f>IFERROR(VLOOKUP($H40,'Product Database'!A:G,4,FALSE),"")</f>
        <v/>
      </c>
      <c r="O40" s="109"/>
      <c r="P40" s="112"/>
      <c r="Q40" s="113"/>
      <c r="R40" s="108" t="str">
        <f>IFERROR(VLOOKUP($H40,'Product Database'!A:G,6,FALSE),"")</f>
        <v/>
      </c>
      <c r="S40" s="108"/>
      <c r="T40" s="108"/>
      <c r="U40" s="108" t="str">
        <f t="shared" si="0"/>
        <v/>
      </c>
      <c r="V40" s="109"/>
      <c r="W40" s="109"/>
      <c r="X40" s="66"/>
    </row>
    <row r="41" spans="3:24" x14ac:dyDescent="0.25">
      <c r="C41" s="48"/>
      <c r="D41" s="42"/>
      <c r="E41" s="42"/>
      <c r="F41" s="60"/>
      <c r="G41" s="67" t="str">
        <f t="shared" si="1"/>
        <v/>
      </c>
      <c r="H41" s="119"/>
      <c r="I41" s="120"/>
      <c r="J41" s="121"/>
      <c r="K41" s="118" t="str">
        <f>IFERROR(VLOOKUP($H41,'Product Database'!A:G,2,FALSE),"")</f>
        <v/>
      </c>
      <c r="L41" s="118"/>
      <c r="M41" s="118"/>
      <c r="N41" s="109" t="str">
        <f>IFERROR(VLOOKUP($H41,'Product Database'!A:G,4,FALSE),"")</f>
        <v/>
      </c>
      <c r="O41" s="109"/>
      <c r="P41" s="112"/>
      <c r="Q41" s="113"/>
      <c r="R41" s="108" t="str">
        <f>IFERROR(VLOOKUP($H41,'Product Database'!A:G,6,FALSE),"")</f>
        <v/>
      </c>
      <c r="S41" s="108"/>
      <c r="T41" s="108"/>
      <c r="U41" s="108" t="str">
        <f t="shared" si="0"/>
        <v/>
      </c>
      <c r="V41" s="109"/>
      <c r="W41" s="109"/>
      <c r="X41" s="66"/>
    </row>
    <row r="42" spans="3:24" x14ac:dyDescent="0.25">
      <c r="C42" s="48"/>
      <c r="F42" s="60"/>
      <c r="G42" s="67" t="str">
        <f t="shared" si="1"/>
        <v/>
      </c>
      <c r="H42" s="119"/>
      <c r="I42" s="120"/>
      <c r="J42" s="121"/>
      <c r="K42" s="118" t="str">
        <f>IFERROR(VLOOKUP($H42,'Product Database'!A:G,2,FALSE),"")</f>
        <v/>
      </c>
      <c r="L42" s="118"/>
      <c r="M42" s="118"/>
      <c r="N42" s="109" t="str">
        <f>IFERROR(VLOOKUP($H42,'Product Database'!A:G,4,FALSE),"")</f>
        <v/>
      </c>
      <c r="O42" s="109"/>
      <c r="P42" s="112"/>
      <c r="Q42" s="113"/>
      <c r="R42" s="108" t="str">
        <f>IFERROR(VLOOKUP($H42,'Product Database'!A:G,6,FALSE),"")</f>
        <v/>
      </c>
      <c r="S42" s="108"/>
      <c r="T42" s="108"/>
      <c r="U42" s="108" t="str">
        <f t="shared" si="0"/>
        <v/>
      </c>
      <c r="V42" s="109"/>
      <c r="W42" s="109"/>
      <c r="X42" s="66"/>
    </row>
    <row r="43" spans="3:24" x14ac:dyDescent="0.25">
      <c r="C43" s="48"/>
      <c r="F43" s="60"/>
      <c r="G43" s="67" t="str">
        <f t="shared" si="1"/>
        <v/>
      </c>
      <c r="H43" s="119"/>
      <c r="I43" s="120"/>
      <c r="J43" s="121"/>
      <c r="K43" s="118" t="str">
        <f>IFERROR(VLOOKUP($H43,'Product Database'!A:G,2,FALSE),"")</f>
        <v/>
      </c>
      <c r="L43" s="118"/>
      <c r="M43" s="118"/>
      <c r="N43" s="109" t="str">
        <f>IFERROR(VLOOKUP($H43,'Product Database'!A:G,4,FALSE),"")</f>
        <v/>
      </c>
      <c r="O43" s="109"/>
      <c r="P43" s="112"/>
      <c r="Q43" s="113"/>
      <c r="R43" s="108" t="str">
        <f>IFERROR(VLOOKUP($H43,'Product Database'!A:G,6,FALSE),"")</f>
        <v/>
      </c>
      <c r="S43" s="108"/>
      <c r="T43" s="108"/>
      <c r="U43" s="108" t="str">
        <f t="shared" si="0"/>
        <v/>
      </c>
      <c r="V43" s="109"/>
      <c r="W43" s="109"/>
      <c r="X43" s="66"/>
    </row>
    <row r="44" spans="3:24" x14ac:dyDescent="0.25">
      <c r="C44" s="48"/>
      <c r="F44" s="60"/>
      <c r="G44" s="67" t="str">
        <f t="shared" si="1"/>
        <v/>
      </c>
      <c r="H44" s="114"/>
      <c r="I44" s="115"/>
      <c r="J44" s="116"/>
      <c r="K44" s="118" t="str">
        <f>IFERROR(VLOOKUP($H44,'Product Database'!A:G,2,FALSE),"")</f>
        <v/>
      </c>
      <c r="L44" s="118"/>
      <c r="M44" s="118"/>
      <c r="N44" s="109" t="str">
        <f>IFERROR(VLOOKUP($H44,'Product Database'!A:G,4,FALSE),"")</f>
        <v/>
      </c>
      <c r="O44" s="109"/>
      <c r="P44" s="112"/>
      <c r="Q44" s="113"/>
      <c r="R44" s="108" t="str">
        <f>IFERROR(VLOOKUP($H44,'Product Database'!A:G,6,FALSE),"")</f>
        <v/>
      </c>
      <c r="S44" s="108"/>
      <c r="T44" s="108"/>
      <c r="U44" s="108" t="str">
        <f t="shared" si="0"/>
        <v/>
      </c>
      <c r="V44" s="109"/>
      <c r="W44" s="109"/>
      <c r="X44" s="66"/>
    </row>
    <row r="45" spans="3:24" x14ac:dyDescent="0.25">
      <c r="F45" s="62"/>
      <c r="G45" s="76" t="str">
        <f t="shared" si="1"/>
        <v/>
      </c>
      <c r="H45" s="117"/>
      <c r="I45" s="117"/>
      <c r="J45" s="117"/>
      <c r="K45" s="122" t="str">
        <f>IFERROR(VLOOKUP($H45,'Product Database'!A:G,2,FALSE),"")</f>
        <v/>
      </c>
      <c r="L45" s="122"/>
      <c r="M45" s="122"/>
      <c r="N45" s="111" t="str">
        <f>IFERROR(VLOOKUP($H45,'Product Database'!A:G,4,FALSE),"")</f>
        <v/>
      </c>
      <c r="O45" s="111"/>
      <c r="P45" s="111"/>
      <c r="Q45" s="111"/>
      <c r="R45" s="110" t="str">
        <f>IFERROR(VLOOKUP($H45,'Product Database'!A:G,6,FALSE),"")</f>
        <v/>
      </c>
      <c r="S45" s="110"/>
      <c r="T45" s="110"/>
      <c r="U45" s="110" t="str">
        <f t="shared" si="0"/>
        <v/>
      </c>
      <c r="V45" s="111"/>
      <c r="W45" s="111"/>
      <c r="X45" s="75"/>
    </row>
    <row r="46" spans="3:24" x14ac:dyDescent="0.25"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80"/>
      <c r="R46" s="51"/>
      <c r="S46" s="51"/>
      <c r="T46" s="51"/>
      <c r="U46" s="51"/>
      <c r="V46" s="51"/>
      <c r="W46" s="51"/>
      <c r="X46" s="51"/>
    </row>
    <row r="47" spans="3:24" x14ac:dyDescent="0.25"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84"/>
      <c r="R47" s="59"/>
      <c r="S47" s="59"/>
      <c r="T47" s="59"/>
      <c r="U47" s="59"/>
      <c r="V47" s="59"/>
      <c r="W47" s="59"/>
      <c r="X47" s="59"/>
    </row>
    <row r="48" spans="3:24" x14ac:dyDescent="0.25"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84"/>
      <c r="R48" s="60"/>
      <c r="S48" s="60"/>
      <c r="T48" s="60" t="s">
        <v>10</v>
      </c>
      <c r="U48" s="99">
        <f>SUM(U33:W45)</f>
        <v>2739000</v>
      </c>
      <c r="V48" s="100"/>
      <c r="W48" s="100"/>
      <c r="X48" s="60"/>
    </row>
    <row r="49" spans="6:24" x14ac:dyDescent="0.25"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84"/>
      <c r="R49" s="60"/>
      <c r="S49" s="60"/>
      <c r="T49" s="60" t="s">
        <v>42</v>
      </c>
      <c r="U49" s="99">
        <f>U48*(11/12)</f>
        <v>2510750</v>
      </c>
      <c r="V49" s="100"/>
      <c r="W49" s="100"/>
      <c r="X49" s="60"/>
    </row>
    <row r="50" spans="6:24" x14ac:dyDescent="0.25"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84"/>
      <c r="R50" s="60"/>
      <c r="S50" s="60"/>
      <c r="T50" s="60" t="s">
        <v>276</v>
      </c>
      <c r="U50" s="99">
        <f>U49*12%</f>
        <v>301290</v>
      </c>
      <c r="V50" s="100"/>
      <c r="W50" s="100"/>
      <c r="X50" s="60"/>
    </row>
    <row r="51" spans="6:24" x14ac:dyDescent="0.25"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84"/>
      <c r="R51" s="60"/>
      <c r="S51" s="60"/>
      <c r="T51" s="77" t="s">
        <v>110</v>
      </c>
      <c r="U51" s="101">
        <f>U48+U50</f>
        <v>3040290</v>
      </c>
      <c r="V51" s="102"/>
      <c r="W51" s="102"/>
      <c r="X51" s="60"/>
    </row>
    <row r="52" spans="6:24" x14ac:dyDescent="0.25"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84"/>
      <c r="R52" s="62"/>
      <c r="S52" s="62"/>
      <c r="T52" s="62"/>
      <c r="U52" s="62"/>
      <c r="V52" s="62"/>
      <c r="W52" s="62"/>
      <c r="X52" s="62"/>
    </row>
    <row r="53" spans="6:24" x14ac:dyDescent="0.25">
      <c r="Q53" s="86"/>
      <c r="R53" s="42"/>
      <c r="S53" s="42"/>
      <c r="T53" s="42"/>
      <c r="U53" s="42"/>
      <c r="V53" s="42"/>
      <c r="W53" s="42"/>
      <c r="X53" s="42"/>
    </row>
    <row r="54" spans="6:24" x14ac:dyDescent="0.25">
      <c r="Q54" s="86"/>
      <c r="R54" s="42"/>
      <c r="S54" s="42"/>
      <c r="T54" s="42"/>
      <c r="U54" s="42"/>
      <c r="V54" s="42"/>
      <c r="W54" s="42"/>
      <c r="X54" s="42"/>
    </row>
    <row r="55" spans="6:24" ht="6.75" customHeight="1" x14ac:dyDescent="0.25"/>
    <row r="56" spans="6:24" ht="15" customHeight="1" x14ac:dyDescent="0.25"/>
    <row r="57" spans="6:24" ht="8.25" customHeight="1" x14ac:dyDescent="0.25"/>
    <row r="58" spans="6:24" ht="9" customHeight="1" x14ac:dyDescent="0.25"/>
  </sheetData>
  <mergeCells count="113">
    <mergeCell ref="T19:W24"/>
    <mergeCell ref="T25:W25"/>
    <mergeCell ref="T26:W26"/>
    <mergeCell ref="J6:L6"/>
    <mergeCell ref="K16:L16"/>
    <mergeCell ref="T18:W18"/>
    <mergeCell ref="P10:T10"/>
    <mergeCell ref="P11:T11"/>
    <mergeCell ref="O16:X16"/>
    <mergeCell ref="O6:X6"/>
    <mergeCell ref="V8:W8"/>
    <mergeCell ref="V9:W9"/>
    <mergeCell ref="V10:W10"/>
    <mergeCell ref="V11:W11"/>
    <mergeCell ref="P8:T8"/>
    <mergeCell ref="P9:T9"/>
    <mergeCell ref="Q18:R18"/>
    <mergeCell ref="Q25:R25"/>
    <mergeCell ref="Q26:R26"/>
    <mergeCell ref="R32:T32"/>
    <mergeCell ref="U32:W32"/>
    <mergeCell ref="H33:J33"/>
    <mergeCell ref="H34:J34"/>
    <mergeCell ref="H35:J35"/>
    <mergeCell ref="H36:J36"/>
    <mergeCell ref="H32:J32"/>
    <mergeCell ref="K32:M32"/>
    <mergeCell ref="N32:O32"/>
    <mergeCell ref="P32:Q32"/>
    <mergeCell ref="N33:O33"/>
    <mergeCell ref="N34:O34"/>
    <mergeCell ref="N35:O35"/>
    <mergeCell ref="N36:O36"/>
    <mergeCell ref="H44:J44"/>
    <mergeCell ref="H45:J45"/>
    <mergeCell ref="K33:M33"/>
    <mergeCell ref="K34:M34"/>
    <mergeCell ref="K35:M35"/>
    <mergeCell ref="K36:M36"/>
    <mergeCell ref="K37:M37"/>
    <mergeCell ref="K38:M38"/>
    <mergeCell ref="K39:M39"/>
    <mergeCell ref="K40:M40"/>
    <mergeCell ref="H38:J38"/>
    <mergeCell ref="H39:J39"/>
    <mergeCell ref="H40:J40"/>
    <mergeCell ref="H41:J41"/>
    <mergeCell ref="H42:J42"/>
    <mergeCell ref="H43:J43"/>
    <mergeCell ref="H37:J37"/>
    <mergeCell ref="K41:M41"/>
    <mergeCell ref="K42:M42"/>
    <mergeCell ref="K43:M43"/>
    <mergeCell ref="K44:M44"/>
    <mergeCell ref="K45:M45"/>
    <mergeCell ref="N37:O37"/>
    <mergeCell ref="P44:Q44"/>
    <mergeCell ref="P45:Q45"/>
    <mergeCell ref="R33:T33"/>
    <mergeCell ref="R34:T34"/>
    <mergeCell ref="R35:T35"/>
    <mergeCell ref="R36:T36"/>
    <mergeCell ref="R37:T37"/>
    <mergeCell ref="N44:O44"/>
    <mergeCell ref="N45:O45"/>
    <mergeCell ref="P33:Q33"/>
    <mergeCell ref="P34:Q34"/>
    <mergeCell ref="P35:Q35"/>
    <mergeCell ref="P36:Q36"/>
    <mergeCell ref="P37:Q37"/>
    <mergeCell ref="P38:Q38"/>
    <mergeCell ref="P39:Q39"/>
    <mergeCell ref="P40:Q40"/>
    <mergeCell ref="N38:O38"/>
    <mergeCell ref="N39:O39"/>
    <mergeCell ref="N40:O40"/>
    <mergeCell ref="N41:O41"/>
    <mergeCell ref="N42:O42"/>
    <mergeCell ref="N43:O43"/>
    <mergeCell ref="U40:W40"/>
    <mergeCell ref="R38:T38"/>
    <mergeCell ref="R39:T39"/>
    <mergeCell ref="R40:T40"/>
    <mergeCell ref="R41:T41"/>
    <mergeCell ref="R42:T42"/>
    <mergeCell ref="R43:T43"/>
    <mergeCell ref="P41:Q41"/>
    <mergeCell ref="P42:Q42"/>
    <mergeCell ref="P43:Q43"/>
    <mergeCell ref="U49:W49"/>
    <mergeCell ref="U50:W50"/>
    <mergeCell ref="U51:W51"/>
    <mergeCell ref="G22:L22"/>
    <mergeCell ref="G23:L23"/>
    <mergeCell ref="G24:L24"/>
    <mergeCell ref="G25:L25"/>
    <mergeCell ref="G26:L26"/>
    <mergeCell ref="Q19:R24"/>
    <mergeCell ref="U41:W41"/>
    <mergeCell ref="U42:W42"/>
    <mergeCell ref="U43:W43"/>
    <mergeCell ref="U44:W44"/>
    <mergeCell ref="U45:W45"/>
    <mergeCell ref="U48:W48"/>
    <mergeCell ref="R44:T44"/>
    <mergeCell ref="R45:T45"/>
    <mergeCell ref="U33:W33"/>
    <mergeCell ref="U34:W34"/>
    <mergeCell ref="U35:W35"/>
    <mergeCell ref="U36:W36"/>
    <mergeCell ref="U37:W37"/>
    <mergeCell ref="U38:W38"/>
    <mergeCell ref="U39:W39"/>
  </mergeCells>
  <dataValidations count="1">
    <dataValidation type="whole" operator="greaterThanOrEqual" allowBlank="1" showInputMessage="1" showErrorMessage="1" sqref="P33:Q45" xr:uid="{FF13D6B7-3F87-40D6-9AD0-D109ECE1C55E}">
      <formula1>1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225078-995F-45C6-97B1-F30F07280479}">
          <x14:formula1>
            <xm:f>'Product Database'!$A$2:$A$1048576</xm:f>
          </x14:formula1>
          <xm:sqref>H33:J45</xm:sqref>
        </x14:dataValidation>
        <x14:dataValidation type="list" allowBlank="1" showInputMessage="1" showErrorMessage="1" xr:uid="{630F2566-EAA0-4EA2-A32D-510A0BAE1EFD}">
          <x14:formula1>
            <xm:f>'Customer Database'!$A$2:$A$1048576</xm:f>
          </x14:formula1>
          <xm:sqref>K16</xm:sqref>
        </x14:dataValidation>
        <x14:dataValidation type="list" allowBlank="1" showInputMessage="1" showErrorMessage="1" xr:uid="{4918AF79-FA64-47C6-A27B-A49C965FB18C}">
          <x14:formula1>
            <xm:f>'Invoice Database'!$K$3:$K$1048576</xm:f>
          </x14:formula1>
          <xm:sqref>J6:L6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9CEB-21B4-438A-8C18-78AF36FB4CE6}">
  <sheetPr codeName="Sheet3"/>
  <dimension ref="A1:K7"/>
  <sheetViews>
    <sheetView workbookViewId="0">
      <selection activeCell="F27" sqref="F27"/>
    </sheetView>
  </sheetViews>
  <sheetFormatPr defaultRowHeight="15" x14ac:dyDescent="0.25"/>
  <cols>
    <col min="1" max="1" width="14" customWidth="1"/>
    <col min="2" max="2" width="14" style="1" customWidth="1"/>
    <col min="3" max="3" width="16.7109375" customWidth="1"/>
    <col min="4" max="4" width="23.85546875" customWidth="1"/>
    <col min="5" max="5" width="14.7109375" customWidth="1"/>
    <col min="6" max="6" width="16.5703125" customWidth="1"/>
    <col min="7" max="7" width="10.7109375" customWidth="1"/>
    <col min="8" max="8" width="99.85546875" bestFit="1" customWidth="1"/>
    <col min="9" max="9" width="103.140625" bestFit="1" customWidth="1"/>
    <col min="10" max="10" width="21.85546875" style="1" customWidth="1"/>
    <col min="11" max="11" width="36.28515625" bestFit="1" customWidth="1"/>
  </cols>
  <sheetData>
    <row r="1" spans="1:11" s="29" customFormat="1" ht="23.25" customHeight="1" x14ac:dyDescent="0.25">
      <c r="A1" s="29" t="s">
        <v>1</v>
      </c>
      <c r="B1" s="29" t="s">
        <v>13</v>
      </c>
      <c r="C1" s="29" t="s">
        <v>49</v>
      </c>
      <c r="D1" s="29" t="s">
        <v>8</v>
      </c>
      <c r="E1" s="29" t="s">
        <v>44</v>
      </c>
      <c r="F1" s="29" t="s">
        <v>45</v>
      </c>
      <c r="G1" s="29" t="s">
        <v>51</v>
      </c>
      <c r="H1" s="29" t="s">
        <v>46</v>
      </c>
      <c r="I1" s="29" t="s">
        <v>47</v>
      </c>
      <c r="J1" s="29" t="s">
        <v>48</v>
      </c>
      <c r="K1" s="29" t="s">
        <v>67</v>
      </c>
    </row>
    <row r="2" spans="1:11" s="29" customFormat="1" ht="23.25" customHeight="1" x14ac:dyDescent="0.25">
      <c r="A2" s="93" t="s">
        <v>278</v>
      </c>
      <c r="B2" s="93" t="s">
        <v>278</v>
      </c>
      <c r="C2" s="93" t="s">
        <v>278</v>
      </c>
      <c r="D2" s="93" t="s">
        <v>278</v>
      </c>
      <c r="E2" s="93" t="s">
        <v>278</v>
      </c>
      <c r="F2" s="93" t="s">
        <v>278</v>
      </c>
      <c r="G2" s="93" t="s">
        <v>278</v>
      </c>
      <c r="H2" s="93" t="s">
        <v>278</v>
      </c>
      <c r="I2" s="93" t="s">
        <v>278</v>
      </c>
      <c r="J2" s="93" t="s">
        <v>278</v>
      </c>
      <c r="K2" s="93" t="s">
        <v>278</v>
      </c>
    </row>
    <row r="3" spans="1:11" x14ac:dyDescent="0.25">
      <c r="A3">
        <v>8</v>
      </c>
      <c r="B3" s="1">
        <v>123</v>
      </c>
      <c r="C3" t="s">
        <v>125</v>
      </c>
      <c r="D3" s="27">
        <v>0</v>
      </c>
      <c r="E3" s="28">
        <v>46259</v>
      </c>
      <c r="F3" s="28">
        <v>46319</v>
      </c>
      <c r="G3" t="s">
        <v>56</v>
      </c>
      <c r="K3" t="s">
        <v>279</v>
      </c>
    </row>
    <row r="4" spans="1:11" x14ac:dyDescent="0.25">
      <c r="A4">
        <v>9</v>
      </c>
      <c r="B4" s="1">
        <v>512</v>
      </c>
      <c r="C4" t="s">
        <v>132</v>
      </c>
      <c r="D4" s="27">
        <v>0</v>
      </c>
      <c r="E4" s="28">
        <v>46259</v>
      </c>
      <c r="F4" s="28">
        <v>46358</v>
      </c>
      <c r="G4" t="s">
        <v>56</v>
      </c>
      <c r="K4" t="s">
        <v>281</v>
      </c>
    </row>
    <row r="5" spans="1:11" x14ac:dyDescent="0.25">
      <c r="A5">
        <v>10</v>
      </c>
      <c r="B5" s="1">
        <v>111</v>
      </c>
      <c r="C5" t="s">
        <v>112</v>
      </c>
      <c r="D5" s="27">
        <v>0</v>
      </c>
      <c r="E5" s="28">
        <v>46228</v>
      </c>
      <c r="F5" s="28">
        <v>46250</v>
      </c>
      <c r="G5" t="s">
        <v>56</v>
      </c>
      <c r="K5" t="s">
        <v>282</v>
      </c>
    </row>
    <row r="6" spans="1:11" x14ac:dyDescent="0.25">
      <c r="A6">
        <v>11</v>
      </c>
      <c r="B6" s="1">
        <v>223</v>
      </c>
      <c r="C6" t="s">
        <v>112</v>
      </c>
      <c r="D6" s="27">
        <v>0</v>
      </c>
      <c r="E6" s="28">
        <v>46259</v>
      </c>
      <c r="F6" s="28">
        <v>47491</v>
      </c>
      <c r="G6" t="s">
        <v>56</v>
      </c>
      <c r="K6" t="s">
        <v>284</v>
      </c>
    </row>
    <row r="7" spans="1:11" x14ac:dyDescent="0.25">
      <c r="A7">
        <v>12</v>
      </c>
      <c r="B7" s="1">
        <v>0</v>
      </c>
      <c r="C7" t="s">
        <v>112</v>
      </c>
      <c r="D7" s="27">
        <v>0</v>
      </c>
      <c r="E7" s="28">
        <v>46260</v>
      </c>
      <c r="F7" s="28">
        <v>46260</v>
      </c>
      <c r="G7" t="s">
        <v>56</v>
      </c>
      <c r="K7" t="s">
        <v>285</v>
      </c>
    </row>
  </sheetData>
  <conditionalFormatting sqref="A1:J1 A2:K1048576">
    <cfRule type="expression" dxfId="0" priority="1">
      <formula>IF(AND($A1&lt;&gt;"",$F1&lt;TODAY(),$G1&lt;&gt;"Paid"),TRUE,FALSE)</formula>
    </cfRule>
  </conditionalFormatting>
  <dataValidations count="1">
    <dataValidation type="list" allowBlank="1" showInputMessage="1" showErrorMessage="1" sqref="G3:G1048576" xr:uid="{8E35262E-BBF3-4DC0-AEA6-D94A50D85CE4}">
      <formula1>"Paid,Unpaid"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B01B-7007-4B9F-B9F1-81A5839449EB}">
  <sheetPr codeName="Sheet10"/>
  <dimension ref="A1:H27"/>
  <sheetViews>
    <sheetView topLeftCell="A7" workbookViewId="0">
      <selection activeCell="J3" sqref="J3"/>
    </sheetView>
  </sheetViews>
  <sheetFormatPr defaultRowHeight="15" x14ac:dyDescent="0.25"/>
  <cols>
    <col min="1" max="1" width="20.42578125" style="91" customWidth="1"/>
    <col min="2" max="2" width="15.42578125" style="91" bestFit="1" customWidth="1"/>
    <col min="3" max="3" width="30.42578125" customWidth="1"/>
    <col min="4" max="4" width="9.28515625" bestFit="1" customWidth="1"/>
    <col min="6" max="6" width="14.42578125" style="98" bestFit="1" customWidth="1"/>
    <col min="7" max="7" width="17" style="98" bestFit="1" customWidth="1"/>
  </cols>
  <sheetData>
    <row r="1" spans="1:8" x14ac:dyDescent="0.25">
      <c r="A1" s="69" t="s">
        <v>277</v>
      </c>
      <c r="B1" s="69" t="s">
        <v>274</v>
      </c>
      <c r="C1" s="69" t="s">
        <v>5</v>
      </c>
      <c r="D1" s="69" t="s">
        <v>71</v>
      </c>
      <c r="E1" s="69" t="s">
        <v>6</v>
      </c>
      <c r="F1" s="95" t="s">
        <v>275</v>
      </c>
      <c r="G1" s="95" t="s">
        <v>8</v>
      </c>
      <c r="H1" s="68" t="s">
        <v>66</v>
      </c>
    </row>
    <row r="2" spans="1:8" ht="30" x14ac:dyDescent="0.25">
      <c r="A2" s="92" t="s">
        <v>280</v>
      </c>
      <c r="B2" s="92" t="s">
        <v>107</v>
      </c>
      <c r="C2" s="92" t="s">
        <v>108</v>
      </c>
      <c r="D2" s="92" t="s">
        <v>84</v>
      </c>
      <c r="E2" s="92">
        <v>99</v>
      </c>
      <c r="F2" s="96">
        <v>139000</v>
      </c>
      <c r="G2" s="96">
        <v>13761000</v>
      </c>
      <c r="H2" s="92"/>
    </row>
    <row r="3" spans="1:8" ht="30" x14ac:dyDescent="0.25">
      <c r="A3" s="92" t="s">
        <v>281</v>
      </c>
      <c r="B3" s="92" t="s">
        <v>104</v>
      </c>
      <c r="C3" s="92" t="s">
        <v>105</v>
      </c>
      <c r="D3" s="92" t="s">
        <v>78</v>
      </c>
      <c r="E3" s="92">
        <v>88</v>
      </c>
      <c r="F3" s="96">
        <v>99000</v>
      </c>
      <c r="G3" s="96">
        <v>8712000</v>
      </c>
      <c r="H3" s="92"/>
    </row>
    <row r="4" spans="1:8" ht="30" x14ac:dyDescent="0.25">
      <c r="A4" s="92" t="s">
        <v>281</v>
      </c>
      <c r="B4" s="92" t="s">
        <v>99</v>
      </c>
      <c r="C4" s="92" t="s">
        <v>100</v>
      </c>
      <c r="D4" s="92" t="s">
        <v>78</v>
      </c>
      <c r="E4" s="92">
        <v>88</v>
      </c>
      <c r="F4" s="96">
        <v>549000</v>
      </c>
      <c r="G4" s="96">
        <v>48312000</v>
      </c>
      <c r="H4" s="92"/>
    </row>
    <row r="5" spans="1:8" ht="30" x14ac:dyDescent="0.25">
      <c r="A5" s="92" t="s">
        <v>281</v>
      </c>
      <c r="B5" s="92" t="s">
        <v>97</v>
      </c>
      <c r="C5" s="92" t="s">
        <v>98</v>
      </c>
      <c r="D5" s="92" t="s">
        <v>78</v>
      </c>
      <c r="E5" s="92">
        <v>8</v>
      </c>
      <c r="F5" s="96">
        <v>249000</v>
      </c>
      <c r="G5" s="96">
        <v>1992000</v>
      </c>
      <c r="H5" s="92"/>
    </row>
    <row r="6" spans="1:8" ht="30" x14ac:dyDescent="0.25">
      <c r="A6" s="92" t="s">
        <v>281</v>
      </c>
      <c r="B6" s="92" t="s">
        <v>94</v>
      </c>
      <c r="C6" s="92" t="s">
        <v>95</v>
      </c>
      <c r="D6" s="92" t="s">
        <v>78</v>
      </c>
      <c r="E6" s="92">
        <v>88</v>
      </c>
      <c r="F6" s="96">
        <v>299000</v>
      </c>
      <c r="G6" s="96">
        <v>26312000</v>
      </c>
      <c r="H6" s="92"/>
    </row>
    <row r="7" spans="1:8" ht="45" x14ac:dyDescent="0.25">
      <c r="A7" s="92" t="s">
        <v>283</v>
      </c>
      <c r="B7" s="92" t="s">
        <v>104</v>
      </c>
      <c r="C7" s="92" t="s">
        <v>105</v>
      </c>
      <c r="D7" s="92" t="s">
        <v>78</v>
      </c>
      <c r="E7" s="92">
        <v>11</v>
      </c>
      <c r="F7" s="96">
        <v>99000</v>
      </c>
      <c r="G7" s="96">
        <v>1089000</v>
      </c>
      <c r="H7" s="92"/>
    </row>
    <row r="8" spans="1:8" ht="45" x14ac:dyDescent="0.25">
      <c r="A8" s="92" t="s">
        <v>283</v>
      </c>
      <c r="B8" s="92" t="s">
        <v>107</v>
      </c>
      <c r="C8" s="92" t="s">
        <v>108</v>
      </c>
      <c r="D8" s="92" t="s">
        <v>84</v>
      </c>
      <c r="E8" s="92">
        <v>1</v>
      </c>
      <c r="F8" s="96">
        <v>139000</v>
      </c>
      <c r="G8" s="96">
        <v>139000</v>
      </c>
      <c r="H8" s="92"/>
    </row>
    <row r="9" spans="1:8" ht="45" x14ac:dyDescent="0.25">
      <c r="A9" s="92" t="s">
        <v>283</v>
      </c>
      <c r="B9" s="92" t="s">
        <v>104</v>
      </c>
      <c r="C9" s="92" t="s">
        <v>105</v>
      </c>
      <c r="D9" s="92" t="s">
        <v>78</v>
      </c>
      <c r="E9" s="92">
        <v>1</v>
      </c>
      <c r="F9" s="96">
        <v>99000</v>
      </c>
      <c r="G9" s="96">
        <v>99000</v>
      </c>
      <c r="H9" s="92"/>
    </row>
    <row r="10" spans="1:8" ht="45" x14ac:dyDescent="0.25">
      <c r="A10" s="92" t="s">
        <v>283</v>
      </c>
      <c r="B10" s="92" t="s">
        <v>92</v>
      </c>
      <c r="C10" s="92" t="s">
        <v>93</v>
      </c>
      <c r="D10" s="92" t="s">
        <v>78</v>
      </c>
      <c r="E10" s="92">
        <v>11</v>
      </c>
      <c r="F10" s="96">
        <v>169000</v>
      </c>
      <c r="G10" s="96">
        <v>1859000</v>
      </c>
      <c r="H10" s="92"/>
    </row>
    <row r="11" spans="1:8" ht="30" x14ac:dyDescent="0.25">
      <c r="A11" s="92" t="s">
        <v>279</v>
      </c>
      <c r="B11" s="92" t="s">
        <v>81</v>
      </c>
      <c r="C11" s="92" t="s">
        <v>82</v>
      </c>
      <c r="D11" s="92" t="s">
        <v>84</v>
      </c>
      <c r="E11" s="92">
        <v>1</v>
      </c>
      <c r="F11" s="96">
        <v>189000</v>
      </c>
      <c r="G11" s="96">
        <v>189000</v>
      </c>
      <c r="H11" s="92"/>
    </row>
    <row r="12" spans="1:8" ht="30" x14ac:dyDescent="0.25">
      <c r="A12" s="92" t="s">
        <v>282</v>
      </c>
      <c r="B12" s="92" t="s">
        <v>99</v>
      </c>
      <c r="C12" s="92" t="s">
        <v>100</v>
      </c>
      <c r="D12" s="92" t="s">
        <v>78</v>
      </c>
      <c r="E12" s="92">
        <v>100</v>
      </c>
      <c r="F12" s="96">
        <v>549000</v>
      </c>
      <c r="G12" s="96">
        <v>54900000</v>
      </c>
      <c r="H12" s="92"/>
    </row>
    <row r="13" spans="1:8" ht="30" x14ac:dyDescent="0.25">
      <c r="A13" s="92" t="s">
        <v>282</v>
      </c>
      <c r="B13" s="92" t="s">
        <v>104</v>
      </c>
      <c r="C13" s="92" t="s">
        <v>105</v>
      </c>
      <c r="D13" s="92" t="s">
        <v>78</v>
      </c>
      <c r="E13" s="92">
        <v>111</v>
      </c>
      <c r="F13" s="96">
        <v>99000</v>
      </c>
      <c r="G13" s="96">
        <v>10989000</v>
      </c>
      <c r="H13" s="92"/>
    </row>
    <row r="14" spans="1:8" ht="30" x14ac:dyDescent="0.25">
      <c r="A14" s="92" t="s">
        <v>282</v>
      </c>
      <c r="B14" s="92" t="s">
        <v>104</v>
      </c>
      <c r="C14" s="92" t="s">
        <v>105</v>
      </c>
      <c r="D14" s="92" t="s">
        <v>78</v>
      </c>
      <c r="E14" s="92">
        <v>23</v>
      </c>
      <c r="F14" s="96">
        <v>99000</v>
      </c>
      <c r="G14" s="96">
        <v>2277000</v>
      </c>
      <c r="H14" s="92"/>
    </row>
    <row r="15" spans="1:8" ht="30" x14ac:dyDescent="0.25">
      <c r="A15" s="92" t="s">
        <v>282</v>
      </c>
      <c r="B15" s="92" t="s">
        <v>99</v>
      </c>
      <c r="C15" s="92" t="s">
        <v>100</v>
      </c>
      <c r="D15" s="92" t="s">
        <v>78</v>
      </c>
      <c r="E15" s="92">
        <v>45</v>
      </c>
      <c r="F15" s="96">
        <v>549000</v>
      </c>
      <c r="G15" s="96">
        <v>24705000</v>
      </c>
      <c r="H15" s="92"/>
    </row>
    <row r="16" spans="1:8" ht="30" x14ac:dyDescent="0.25">
      <c r="A16" s="92" t="s">
        <v>282</v>
      </c>
      <c r="B16" s="92" t="s">
        <v>89</v>
      </c>
      <c r="C16" s="92" t="s">
        <v>90</v>
      </c>
      <c r="D16" s="92" t="s">
        <v>78</v>
      </c>
      <c r="E16" s="92">
        <v>33</v>
      </c>
      <c r="F16" s="96">
        <v>125000</v>
      </c>
      <c r="G16" s="96">
        <v>4125000</v>
      </c>
      <c r="H16" s="92"/>
    </row>
    <row r="17" spans="1:8" ht="30" x14ac:dyDescent="0.25">
      <c r="A17" s="92" t="s">
        <v>285</v>
      </c>
      <c r="B17" s="92" t="s">
        <v>97</v>
      </c>
      <c r="C17" s="92" t="s">
        <v>98</v>
      </c>
      <c r="D17" s="92" t="s">
        <v>78</v>
      </c>
      <c r="E17" s="92">
        <v>222</v>
      </c>
      <c r="F17" s="96">
        <v>249000</v>
      </c>
      <c r="G17" s="96">
        <v>55278000</v>
      </c>
      <c r="H17" s="92"/>
    </row>
    <row r="18" spans="1:8" ht="30" x14ac:dyDescent="0.25">
      <c r="A18" s="92" t="s">
        <v>284</v>
      </c>
      <c r="B18" s="92" t="s">
        <v>97</v>
      </c>
      <c r="C18" s="92" t="s">
        <v>98</v>
      </c>
      <c r="D18" s="92" t="s">
        <v>78</v>
      </c>
      <c r="E18" s="92">
        <v>11</v>
      </c>
      <c r="F18" s="96">
        <v>249000</v>
      </c>
      <c r="G18" s="96">
        <v>2739000</v>
      </c>
      <c r="H18" s="92"/>
    </row>
    <row r="19" spans="1:8" x14ac:dyDescent="0.25">
      <c r="A19" s="92"/>
      <c r="B19" s="92"/>
      <c r="C19" s="93"/>
      <c r="D19" s="93"/>
      <c r="E19" s="93"/>
      <c r="F19" s="97"/>
      <c r="G19" s="97"/>
      <c r="H19" s="93"/>
    </row>
    <row r="20" spans="1:8" x14ac:dyDescent="0.25">
      <c r="A20" s="94"/>
      <c r="B20" s="94"/>
      <c r="C20" s="93"/>
      <c r="D20" s="93"/>
      <c r="E20" s="93"/>
      <c r="F20" s="97"/>
      <c r="G20" s="97"/>
      <c r="H20" s="93"/>
    </row>
    <row r="21" spans="1:8" x14ac:dyDescent="0.25">
      <c r="A21" s="94"/>
      <c r="B21" s="94"/>
      <c r="C21" s="93"/>
      <c r="D21" s="93"/>
      <c r="E21" s="93"/>
      <c r="F21" s="97"/>
      <c r="G21" s="97"/>
      <c r="H21" s="93"/>
    </row>
    <row r="22" spans="1:8" x14ac:dyDescent="0.25">
      <c r="A22" s="94"/>
      <c r="B22" s="94"/>
      <c r="C22" s="93"/>
      <c r="D22" s="93"/>
      <c r="E22" s="93"/>
      <c r="F22" s="97"/>
      <c r="G22" s="97"/>
      <c r="H22" s="93"/>
    </row>
    <row r="23" spans="1:8" x14ac:dyDescent="0.25">
      <c r="A23" s="94"/>
      <c r="B23" s="94"/>
      <c r="C23" s="93"/>
      <c r="D23" s="93"/>
      <c r="E23" s="93"/>
      <c r="F23" s="97"/>
      <c r="G23" s="97"/>
      <c r="H23" s="93"/>
    </row>
    <row r="24" spans="1:8" x14ac:dyDescent="0.25">
      <c r="A24" s="94"/>
      <c r="B24" s="94"/>
      <c r="C24" s="93"/>
      <c r="D24" s="93"/>
      <c r="E24" s="93"/>
      <c r="F24" s="97"/>
      <c r="G24" s="97"/>
      <c r="H24" s="93"/>
    </row>
    <row r="25" spans="1:8" x14ac:dyDescent="0.25">
      <c r="A25" s="94"/>
      <c r="B25" s="94"/>
      <c r="C25" s="93"/>
      <c r="D25" s="93"/>
      <c r="E25" s="93"/>
      <c r="F25" s="97"/>
      <c r="G25" s="97"/>
      <c r="H25" s="93"/>
    </row>
    <row r="26" spans="1:8" x14ac:dyDescent="0.25">
      <c r="A26" s="94"/>
      <c r="B26" s="94"/>
      <c r="C26" s="93"/>
      <c r="D26" s="93"/>
      <c r="E26" s="93"/>
      <c r="F26" s="97"/>
      <c r="G26" s="97"/>
      <c r="H26" s="93"/>
    </row>
    <row r="27" spans="1:8" x14ac:dyDescent="0.25">
      <c r="A27" s="94"/>
      <c r="B27" s="94"/>
      <c r="C27" s="93"/>
      <c r="D27" s="93"/>
      <c r="E27" s="93"/>
      <c r="F27" s="97"/>
      <c r="G27" s="97"/>
      <c r="H27" s="9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4640-5065-4C4A-88A6-18B61AEF1692}">
  <sheetPr codeName="Sheet1"/>
  <dimension ref="A2:O47"/>
  <sheetViews>
    <sheetView topLeftCell="A7" zoomScale="115" zoomScaleNormal="115" workbookViewId="0">
      <selection activeCell="K39" sqref="K39"/>
    </sheetView>
  </sheetViews>
  <sheetFormatPr defaultRowHeight="15" x14ac:dyDescent="0.25"/>
  <cols>
    <col min="1" max="1" width="1.42578125" style="4" customWidth="1"/>
    <col min="2" max="2" width="2.140625" style="4" customWidth="1"/>
    <col min="3" max="3" width="13" style="4" customWidth="1"/>
    <col min="4" max="4" width="1.42578125" style="4" customWidth="1"/>
    <col min="5" max="5" width="16.85546875" style="4" customWidth="1"/>
    <col min="6" max="6" width="12" style="4" customWidth="1"/>
    <col min="7" max="7" width="7.42578125" style="4" customWidth="1"/>
    <col min="8" max="8" width="17.140625" style="4" customWidth="1"/>
    <col min="9" max="9" width="11.42578125" style="4" customWidth="1"/>
    <col min="10" max="10" width="4.140625" style="4" customWidth="1"/>
    <col min="11" max="11" width="16.5703125" style="4" customWidth="1"/>
    <col min="12" max="12" width="11.42578125" style="4" customWidth="1"/>
    <col min="13" max="16384" width="9.140625" style="4"/>
  </cols>
  <sheetData>
    <row r="2" spans="1:15" ht="24.75" customHeight="1" x14ac:dyDescent="0.25">
      <c r="A2" s="137" t="s">
        <v>14</v>
      </c>
      <c r="B2" s="137"/>
      <c r="C2" s="137"/>
      <c r="D2" s="137"/>
      <c r="E2" s="137"/>
      <c r="F2" s="2"/>
      <c r="G2" s="138" t="s">
        <v>0</v>
      </c>
      <c r="H2" s="138"/>
      <c r="I2" s="138"/>
      <c r="J2" s="138"/>
      <c r="K2" s="3"/>
      <c r="L2" s="3"/>
      <c r="M2" s="3"/>
      <c r="N2" s="3"/>
    </row>
    <row r="3" spans="1:15" ht="3.75" customHeight="1" x14ac:dyDescent="0.25">
      <c r="A3" s="22"/>
      <c r="B3" s="22"/>
      <c r="C3" s="22"/>
      <c r="D3" s="22"/>
      <c r="E3" s="22"/>
      <c r="F3" s="2"/>
      <c r="G3" s="138"/>
      <c r="H3" s="138"/>
      <c r="I3" s="138"/>
      <c r="J3" s="138"/>
      <c r="K3" s="3"/>
      <c r="L3" s="3"/>
      <c r="M3" s="3"/>
      <c r="N3" s="3"/>
    </row>
    <row r="4" spans="1:15" ht="9.75" customHeight="1" x14ac:dyDescent="0.25">
      <c r="A4" s="139" t="s">
        <v>20</v>
      </c>
      <c r="B4" s="139"/>
      <c r="C4" s="139"/>
      <c r="D4" s="139"/>
      <c r="E4" s="139"/>
      <c r="F4" s="2"/>
      <c r="G4" s="138"/>
      <c r="H4" s="138"/>
      <c r="I4" s="138"/>
      <c r="J4" s="138"/>
      <c r="K4" s="3"/>
      <c r="L4" s="3"/>
      <c r="M4" s="3"/>
      <c r="N4" s="3"/>
    </row>
    <row r="5" spans="1:15" ht="17.25" customHeight="1" x14ac:dyDescent="0.25">
      <c r="A5" s="139"/>
      <c r="B5" s="139"/>
      <c r="C5" s="139"/>
      <c r="D5" s="139"/>
      <c r="E5" s="139"/>
      <c r="F5" s="2"/>
      <c r="G5" s="138"/>
      <c r="H5" s="138"/>
      <c r="I5" s="138"/>
      <c r="J5" s="138"/>
      <c r="K5" s="3"/>
      <c r="L5" s="3"/>
      <c r="M5" s="3"/>
      <c r="N5" s="3"/>
    </row>
    <row r="6" spans="1:15" ht="15" customHeight="1" x14ac:dyDescent="0.25">
      <c r="A6" s="145" t="s">
        <v>21</v>
      </c>
      <c r="B6" s="145"/>
      <c r="C6" s="145"/>
      <c r="D6" s="145"/>
      <c r="E6" s="145"/>
      <c r="F6" s="5"/>
      <c r="G6" s="6"/>
      <c r="H6" s="6"/>
      <c r="I6" s="6"/>
    </row>
    <row r="7" spans="1:15" x14ac:dyDescent="0.25">
      <c r="A7" s="9" t="s">
        <v>22</v>
      </c>
      <c r="B7" s="9"/>
      <c r="C7" s="9"/>
      <c r="D7" s="9"/>
      <c r="E7" s="10"/>
      <c r="F7" s="6"/>
      <c r="H7" s="21" t="s">
        <v>1</v>
      </c>
      <c r="I7" s="149">
        <v>3</v>
      </c>
      <c r="J7" s="150"/>
    </row>
    <row r="8" spans="1:15" x14ac:dyDescent="0.25">
      <c r="A8" s="9"/>
      <c r="B8" s="9"/>
      <c r="C8" s="9"/>
      <c r="D8" s="9"/>
      <c r="E8" s="10"/>
      <c r="F8" s="7"/>
      <c r="H8" s="21" t="s">
        <v>13</v>
      </c>
      <c r="I8" s="149"/>
      <c r="J8" s="150"/>
    </row>
    <row r="9" spans="1:15" ht="15" customHeight="1" x14ac:dyDescent="0.25">
      <c r="F9" s="6"/>
      <c r="G9" s="6"/>
      <c r="H9" s="21" t="s">
        <v>2</v>
      </c>
      <c r="I9" s="151">
        <v>46259</v>
      </c>
      <c r="J9" s="152"/>
    </row>
    <row r="10" spans="1:15" s="10" customFormat="1" x14ac:dyDescent="0.25">
      <c r="F10" s="3"/>
      <c r="G10" s="3"/>
      <c r="H10" s="21" t="s">
        <v>50</v>
      </c>
      <c r="I10" s="149"/>
      <c r="J10" s="150"/>
      <c r="O10" s="4"/>
    </row>
    <row r="11" spans="1:15" ht="15" customHeight="1" x14ac:dyDescent="0.25">
      <c r="B11" s="142" t="s">
        <v>3</v>
      </c>
      <c r="C11" s="142"/>
      <c r="E11" s="11"/>
      <c r="F11" s="11"/>
      <c r="G11" s="6"/>
    </row>
    <row r="12" spans="1:15" ht="15" customHeight="1" x14ac:dyDescent="0.25">
      <c r="B12" s="139" t="s">
        <v>19</v>
      </c>
      <c r="C12" s="139"/>
      <c r="D12" s="12" t="s">
        <v>15</v>
      </c>
      <c r="E12" s="6"/>
      <c r="F12" s="6"/>
      <c r="G12" s="6"/>
    </row>
    <row r="13" spans="1:15" ht="15" customHeight="1" x14ac:dyDescent="0.25">
      <c r="B13" s="139" t="s">
        <v>16</v>
      </c>
      <c r="C13" s="139"/>
      <c r="D13" s="12" t="s">
        <v>15</v>
      </c>
      <c r="E13" s="154" t="str">
        <f>IFERROR(_xlfn.TEXTJOIN(", ",TRUE,VLOOKUP(E12,'Customer Database'!A:E,2,FALSE),VLOOKUP(E12,'Customer Database'!A:E,3,FALSE),VLOOKUP(E12,'Customer Database'!A:E,4,FALSE),VLOOKUP(E12,'Customer Database'!A:E,5,FALSE),VLOOKUP(E12,'Customer Database'!A:F,6,FALSE)),"-")</f>
        <v>-</v>
      </c>
      <c r="F13" s="154"/>
      <c r="G13" s="154"/>
      <c r="H13" s="154"/>
      <c r="I13" s="154"/>
    </row>
    <row r="14" spans="1:15" ht="15" customHeight="1" x14ac:dyDescent="0.25">
      <c r="B14" s="6"/>
      <c r="C14" s="6"/>
      <c r="D14" s="12"/>
      <c r="E14" s="154"/>
      <c r="F14" s="154"/>
      <c r="G14" s="154"/>
      <c r="H14" s="154"/>
      <c r="I14" s="154"/>
    </row>
    <row r="15" spans="1:15" ht="15" customHeight="1" x14ac:dyDescent="0.25">
      <c r="B15" s="6"/>
      <c r="C15" s="6"/>
      <c r="D15" s="12"/>
      <c r="E15" s="154"/>
      <c r="F15" s="154"/>
      <c r="G15" s="154"/>
      <c r="H15" s="154"/>
      <c r="I15" s="154"/>
    </row>
    <row r="16" spans="1:15" ht="15" customHeight="1" x14ac:dyDescent="0.25">
      <c r="B16" s="139" t="s">
        <v>17</v>
      </c>
      <c r="C16" s="139"/>
      <c r="D16" s="12" t="s">
        <v>15</v>
      </c>
      <c r="E16" s="24" t="str">
        <f>IFERROR(VLOOKUP(E12,'Customer Database'!A:H,7,FALSE),"-")</f>
        <v>-</v>
      </c>
      <c r="F16" s="6"/>
      <c r="G16" s="6"/>
    </row>
    <row r="17" spans="1:10" ht="15" customHeight="1" x14ac:dyDescent="0.25">
      <c r="B17" s="4" t="s">
        <v>18</v>
      </c>
      <c r="D17" s="12" t="s">
        <v>15</v>
      </c>
      <c r="E17" s="24" t="str">
        <f>IFERROR(VLOOKUP(E12,'Customer Database'!A:H,8,FALSE),"-")</f>
        <v>-</v>
      </c>
      <c r="F17" s="6"/>
      <c r="G17" s="6"/>
    </row>
    <row r="18" spans="1:10" ht="9" customHeight="1" x14ac:dyDescent="0.25">
      <c r="B18" s="6"/>
      <c r="C18" s="6"/>
      <c r="D18" s="12"/>
      <c r="E18" s="6"/>
      <c r="F18" s="6"/>
      <c r="G18" s="6"/>
    </row>
    <row r="19" spans="1:1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x14ac:dyDescent="0.25">
      <c r="A20" s="143" t="s">
        <v>4</v>
      </c>
      <c r="B20" s="144"/>
      <c r="C20" s="74"/>
      <c r="D20" s="147" t="s">
        <v>5</v>
      </c>
      <c r="E20" s="147"/>
      <c r="F20" s="144"/>
      <c r="G20" s="13" t="s">
        <v>6</v>
      </c>
      <c r="H20" s="13" t="s">
        <v>7</v>
      </c>
      <c r="I20" s="143" t="s">
        <v>8</v>
      </c>
      <c r="J20" s="144"/>
    </row>
    <row r="21" spans="1:10" x14ac:dyDescent="0.25">
      <c r="A21" s="140">
        <v>1</v>
      </c>
      <c r="B21" s="141"/>
      <c r="C21" s="33"/>
      <c r="D21" s="34"/>
      <c r="E21" s="34"/>
      <c r="F21" s="35"/>
      <c r="G21" s="14"/>
      <c r="H21" s="14"/>
      <c r="I21" s="140" t="str">
        <f>IF(C21="","",G21*H21)</f>
        <v/>
      </c>
      <c r="J21" s="141"/>
    </row>
    <row r="22" spans="1:10" x14ac:dyDescent="0.25">
      <c r="A22" s="25"/>
      <c r="B22" s="26"/>
      <c r="C22" s="30"/>
      <c r="D22" s="32"/>
      <c r="E22" s="32"/>
      <c r="F22" s="31"/>
      <c r="G22" s="14"/>
      <c r="H22" s="14"/>
      <c r="I22" s="25"/>
      <c r="J22" s="26"/>
    </row>
    <row r="23" spans="1:10" x14ac:dyDescent="0.25">
      <c r="A23" s="25"/>
      <c r="B23" s="26"/>
      <c r="C23" s="30"/>
      <c r="D23" s="32"/>
      <c r="E23" s="32"/>
      <c r="F23" s="31"/>
      <c r="G23" s="14"/>
      <c r="H23" s="14"/>
      <c r="I23" s="25"/>
      <c r="J23" s="26"/>
    </row>
    <row r="24" spans="1:10" x14ac:dyDescent="0.25">
      <c r="A24" s="25"/>
      <c r="B24" s="26"/>
      <c r="C24" s="30"/>
      <c r="D24" s="32"/>
      <c r="E24" s="32"/>
      <c r="F24" s="31"/>
      <c r="G24" s="14"/>
      <c r="H24" s="14"/>
      <c r="I24" s="25"/>
      <c r="J24" s="26"/>
    </row>
    <row r="25" spans="1:10" x14ac:dyDescent="0.25">
      <c r="A25" s="25"/>
      <c r="B25" s="26"/>
      <c r="C25" s="30"/>
      <c r="D25" s="32"/>
      <c r="E25" s="32"/>
      <c r="F25" s="31"/>
      <c r="G25" s="14"/>
      <c r="H25" s="14"/>
      <c r="I25" s="25"/>
      <c r="J25" s="26"/>
    </row>
    <row r="26" spans="1:10" x14ac:dyDescent="0.25">
      <c r="A26" s="25"/>
      <c r="B26" s="26"/>
      <c r="C26" s="30"/>
      <c r="D26" s="32"/>
      <c r="E26" s="32"/>
      <c r="F26" s="31"/>
      <c r="G26" s="14"/>
      <c r="H26" s="14"/>
      <c r="I26" s="25"/>
      <c r="J26" s="26"/>
    </row>
    <row r="27" spans="1:10" x14ac:dyDescent="0.25">
      <c r="A27" s="25"/>
      <c r="B27" s="26"/>
      <c r="C27" s="30"/>
      <c r="D27" s="32"/>
      <c r="E27" s="32"/>
      <c r="F27" s="31"/>
      <c r="G27" s="14"/>
      <c r="H27" s="14"/>
      <c r="I27" s="25"/>
      <c r="J27" s="26"/>
    </row>
    <row r="28" spans="1:10" x14ac:dyDescent="0.25">
      <c r="A28" s="25"/>
      <c r="B28" s="26"/>
      <c r="C28" s="30"/>
      <c r="D28" s="32"/>
      <c r="E28" s="32"/>
      <c r="F28" s="31"/>
      <c r="G28" s="14"/>
      <c r="H28" s="14"/>
      <c r="I28" s="25"/>
      <c r="J28" s="26"/>
    </row>
    <row r="29" spans="1:10" x14ac:dyDescent="0.25">
      <c r="A29" s="25"/>
      <c r="B29" s="26"/>
      <c r="C29" s="30"/>
      <c r="D29" s="32"/>
      <c r="E29" s="32"/>
      <c r="F29" s="31"/>
      <c r="G29" s="14"/>
      <c r="H29" s="14"/>
      <c r="I29" s="25"/>
      <c r="J29" s="26"/>
    </row>
    <row r="30" spans="1:10" x14ac:dyDescent="0.25">
      <c r="A30" s="25"/>
      <c r="B30" s="26"/>
      <c r="C30" s="30"/>
      <c r="D30" s="32"/>
      <c r="E30" s="32"/>
      <c r="F30" s="31"/>
      <c r="G30" s="14"/>
      <c r="H30" s="14"/>
      <c r="I30" s="25"/>
      <c r="J30" s="26"/>
    </row>
    <row r="31" spans="1:10" x14ac:dyDescent="0.25">
      <c r="A31" s="25"/>
      <c r="B31" s="26"/>
      <c r="C31" s="30"/>
      <c r="D31" s="32"/>
      <c r="E31" s="32"/>
      <c r="F31" s="31"/>
      <c r="G31" s="14"/>
      <c r="H31" s="14"/>
      <c r="I31" s="25"/>
      <c r="J31" s="26"/>
    </row>
    <row r="32" spans="1:10" x14ac:dyDescent="0.25">
      <c r="A32" s="25"/>
      <c r="B32" s="26"/>
      <c r="C32" s="30"/>
      <c r="D32" s="32"/>
      <c r="E32" s="32"/>
      <c r="F32" s="31"/>
      <c r="G32" s="14"/>
      <c r="H32" s="14"/>
      <c r="I32" s="25"/>
      <c r="J32" s="26"/>
    </row>
    <row r="33" spans="1:10" x14ac:dyDescent="0.25">
      <c r="A33" s="25"/>
      <c r="B33" s="26"/>
      <c r="C33" s="30"/>
      <c r="D33" s="32"/>
      <c r="E33" s="32"/>
      <c r="F33" s="31"/>
      <c r="G33" s="14"/>
      <c r="H33" s="14"/>
      <c r="I33" s="25"/>
      <c r="J33" s="26"/>
    </row>
    <row r="34" spans="1:10" x14ac:dyDescent="0.25">
      <c r="A34" s="25"/>
      <c r="B34" s="26"/>
      <c r="C34" s="30"/>
      <c r="D34" s="32"/>
      <c r="E34" s="32"/>
      <c r="F34" s="31"/>
      <c r="G34" s="14"/>
      <c r="H34" s="14"/>
      <c r="I34" s="25"/>
      <c r="J34" s="26"/>
    </row>
    <row r="35" spans="1:10" x14ac:dyDescent="0.25">
      <c r="A35" s="140"/>
      <c r="B35" s="141"/>
      <c r="C35" s="33"/>
      <c r="D35" s="34"/>
      <c r="E35" s="34"/>
      <c r="F35" s="35"/>
      <c r="G35" s="8"/>
      <c r="H35" s="14"/>
      <c r="I35" s="140" t="str">
        <f>IF(C35="","",G35*H35)</f>
        <v/>
      </c>
      <c r="J35" s="141"/>
    </row>
    <row r="36" spans="1:10" ht="20.25" customHeight="1" x14ac:dyDescent="0.25">
      <c r="A36" s="17"/>
      <c r="B36" s="17"/>
      <c r="C36" s="15"/>
      <c r="D36" s="15"/>
      <c r="E36" s="15"/>
      <c r="F36" s="15"/>
      <c r="G36" s="15"/>
      <c r="H36" s="17"/>
      <c r="I36" s="17"/>
      <c r="J36" s="17"/>
    </row>
    <row r="37" spans="1:10" x14ac:dyDescent="0.25">
      <c r="A37" s="17"/>
      <c r="B37" s="142" t="s">
        <v>12</v>
      </c>
      <c r="C37" s="142"/>
      <c r="D37" s="142"/>
      <c r="E37" s="142"/>
      <c r="F37" s="15"/>
      <c r="G37" s="15"/>
      <c r="H37" s="16" t="s">
        <v>10</v>
      </c>
      <c r="I37" s="153" t="str">
        <f>IF($C$21="","",SUM(I21:J35))</f>
        <v/>
      </c>
      <c r="J37" s="153"/>
    </row>
    <row r="38" spans="1:10" x14ac:dyDescent="0.25">
      <c r="A38" s="15"/>
      <c r="B38" s="139" t="s">
        <v>23</v>
      </c>
      <c r="C38" s="139"/>
      <c r="D38" s="12" t="s">
        <v>15</v>
      </c>
      <c r="E38" s="146" t="s">
        <v>24</v>
      </c>
      <c r="F38" s="146"/>
      <c r="G38" s="15"/>
      <c r="H38" s="16" t="s">
        <v>42</v>
      </c>
      <c r="I38" s="155" t="str">
        <f>IF($C$21="","",I37*(11/12))</f>
        <v/>
      </c>
      <c r="J38" s="155"/>
    </row>
    <row r="39" spans="1:10" x14ac:dyDescent="0.25">
      <c r="A39" s="15"/>
      <c r="B39" s="139" t="s">
        <v>27</v>
      </c>
      <c r="C39" s="139"/>
      <c r="D39" s="12" t="s">
        <v>15</v>
      </c>
      <c r="E39" s="15" t="s">
        <v>25</v>
      </c>
      <c r="F39" s="15"/>
      <c r="G39" s="15"/>
      <c r="H39" s="16" t="s">
        <v>43</v>
      </c>
      <c r="I39" s="153" t="str">
        <f>IF($C$21="","",I38*12%)</f>
        <v/>
      </c>
      <c r="J39" s="153"/>
    </row>
    <row r="40" spans="1:10" x14ac:dyDescent="0.25">
      <c r="A40" s="15"/>
      <c r="B40" s="139" t="s">
        <v>28</v>
      </c>
      <c r="C40" s="139"/>
      <c r="D40" s="12" t="s">
        <v>15</v>
      </c>
      <c r="E40" s="18" t="s">
        <v>26</v>
      </c>
      <c r="F40" s="6"/>
      <c r="G40" s="15"/>
      <c r="H40" s="19" t="s">
        <v>11</v>
      </c>
      <c r="I40" s="148" t="str">
        <f>IF($C$21="","",I37+I39)</f>
        <v/>
      </c>
      <c r="J40" s="148"/>
    </row>
    <row r="41" spans="1:10" x14ac:dyDescent="0.25">
      <c r="A41" s="15"/>
      <c r="G41" s="15"/>
      <c r="J41" s="17"/>
    </row>
    <row r="42" spans="1:10" x14ac:dyDescent="0.25">
      <c r="A42" s="6"/>
      <c r="G42" s="6"/>
      <c r="J42" s="17"/>
    </row>
    <row r="43" spans="1:10" ht="15.75" x14ac:dyDescent="0.25">
      <c r="A43" s="6"/>
      <c r="E43" s="11"/>
      <c r="F43" s="6"/>
      <c r="G43" s="6"/>
      <c r="J43" s="20" t="s">
        <v>9</v>
      </c>
    </row>
    <row r="44" spans="1:10" ht="15" customHeight="1" x14ac:dyDescent="0.25">
      <c r="D44" s="11"/>
      <c r="F44" s="11"/>
      <c r="G44" s="6"/>
      <c r="H44" s="6"/>
      <c r="I44" s="6"/>
      <c r="J44" s="6"/>
    </row>
    <row r="45" spans="1:10" ht="15" customHeight="1" x14ac:dyDescent="0.25">
      <c r="F45" s="6"/>
      <c r="G45" s="6"/>
      <c r="H45" s="6"/>
      <c r="I45" s="6"/>
      <c r="J45" s="6"/>
    </row>
    <row r="46" spans="1:10" ht="15" customHeight="1" x14ac:dyDescent="0.25">
      <c r="F46" s="6"/>
      <c r="G46" s="6"/>
      <c r="H46" s="6"/>
      <c r="I46" s="6"/>
      <c r="J46" s="6"/>
    </row>
    <row r="47" spans="1:10" x14ac:dyDescent="0.25">
      <c r="E47" s="6"/>
      <c r="F47" s="6"/>
      <c r="G47" s="6"/>
      <c r="H47" s="6"/>
      <c r="I47" s="6"/>
      <c r="J47" s="6"/>
    </row>
  </sheetData>
  <mergeCells count="29">
    <mergeCell ref="D20:F20"/>
    <mergeCell ref="I40:J40"/>
    <mergeCell ref="I7:J7"/>
    <mergeCell ref="I8:J8"/>
    <mergeCell ref="I9:J9"/>
    <mergeCell ref="I10:J10"/>
    <mergeCell ref="I39:J39"/>
    <mergeCell ref="E13:I15"/>
    <mergeCell ref="I20:J20"/>
    <mergeCell ref="I21:J21"/>
    <mergeCell ref="I35:J35"/>
    <mergeCell ref="I37:J37"/>
    <mergeCell ref="I38:J38"/>
    <mergeCell ref="A2:E2"/>
    <mergeCell ref="G2:J5"/>
    <mergeCell ref="B39:C39"/>
    <mergeCell ref="B40:C40"/>
    <mergeCell ref="A35:B35"/>
    <mergeCell ref="B11:C11"/>
    <mergeCell ref="B12:C12"/>
    <mergeCell ref="B13:C13"/>
    <mergeCell ref="B16:C16"/>
    <mergeCell ref="A20:B20"/>
    <mergeCell ref="A21:B21"/>
    <mergeCell ref="A4:E5"/>
    <mergeCell ref="A6:E6"/>
    <mergeCell ref="B38:C38"/>
    <mergeCell ref="B37:E37"/>
    <mergeCell ref="E38:F38"/>
  </mergeCells>
  <printOptions horizontalCentered="1"/>
  <pageMargins left="0.59055118110236227" right="0.59055118110236227" top="0.78740157480314965" bottom="0.78740157480314965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autoFill="0" autoPict="0" macro="[0]!NewInvoice">
                <anchor moveWithCells="1">
                  <from>
                    <xdr:col>10</xdr:col>
                    <xdr:colOff>504825</xdr:colOff>
                    <xdr:row>8</xdr:row>
                    <xdr:rowOff>104775</xdr:rowOff>
                  </from>
                  <to>
                    <xdr:col>12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autoFill="0" autoPict="0" macro="[0]!SaveInvoiceAsXl">
                <anchor moveWithCells="1" sizeWithCells="1">
                  <from>
                    <xdr:col>10</xdr:col>
                    <xdr:colOff>504825</xdr:colOff>
                    <xdr:row>15</xdr:row>
                    <xdr:rowOff>142875</xdr:rowOff>
                  </from>
                  <to>
                    <xdr:col>12</xdr:col>
                    <xdr:colOff>9525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autoFill="0" autoPict="0" macro="[0]!SaveAsPdf">
                <anchor moveWithCells="1" sizeWithCells="1">
                  <from>
                    <xdr:col>10</xdr:col>
                    <xdr:colOff>504825</xdr:colOff>
                    <xdr:row>19</xdr:row>
                    <xdr:rowOff>142875</xdr:rowOff>
                  </from>
                  <to>
                    <xdr:col>12</xdr:col>
                    <xdr:colOff>9525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RecordInvoice">
                <anchor moveWithCells="1" sizeWithCells="1">
                  <from>
                    <xdr:col>10</xdr:col>
                    <xdr:colOff>514350</xdr:colOff>
                    <xdr:row>11</xdr:row>
                    <xdr:rowOff>171450</xdr:rowOff>
                  </from>
                  <to>
                    <xdr:col>11</xdr:col>
                    <xdr:colOff>752475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autoFill="0" autoPict="0" macro="[0]!EmailAsPdf">
                <anchor moveWithCells="1" sizeWithCells="1">
                  <from>
                    <xdr:col>10</xdr:col>
                    <xdr:colOff>485775</xdr:colOff>
                    <xdr:row>23</xdr:row>
                    <xdr:rowOff>123825</xdr:rowOff>
                  </from>
                  <to>
                    <xdr:col>11</xdr:col>
                    <xdr:colOff>752475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7ECE-1F57-47F3-A34E-F0C1305625B7}">
  <sheetPr codeName="Sheet4"/>
  <dimension ref="A1:G14"/>
  <sheetViews>
    <sheetView workbookViewId="0">
      <selection activeCell="D30" sqref="D30"/>
    </sheetView>
  </sheetViews>
  <sheetFormatPr defaultRowHeight="15" x14ac:dyDescent="0.25"/>
  <cols>
    <col min="1" max="1" width="13.7109375" customWidth="1"/>
    <col min="2" max="2" width="24.140625" customWidth="1"/>
    <col min="3" max="3" width="16.5703125" customWidth="1"/>
    <col min="5" max="5" width="13.140625" customWidth="1"/>
    <col min="6" max="6" width="14.28515625" customWidth="1"/>
    <col min="7" max="7" width="15.140625" customWidth="1"/>
  </cols>
  <sheetData>
    <row r="1" spans="1:7" x14ac:dyDescent="0.25">
      <c r="A1" s="69" t="s">
        <v>68</v>
      </c>
      <c r="B1" s="69" t="s">
        <v>69</v>
      </c>
      <c r="C1" s="69" t="s">
        <v>70</v>
      </c>
      <c r="D1" s="69" t="s">
        <v>71</v>
      </c>
      <c r="E1" s="71" t="s">
        <v>72</v>
      </c>
      <c r="F1" s="71" t="s">
        <v>73</v>
      </c>
      <c r="G1" s="71" t="s">
        <v>74</v>
      </c>
    </row>
    <row r="2" spans="1:7" x14ac:dyDescent="0.25">
      <c r="A2" s="72" t="s">
        <v>75</v>
      </c>
      <c r="B2" s="72" t="s">
        <v>76</v>
      </c>
      <c r="C2" s="72" t="s">
        <v>77</v>
      </c>
      <c r="D2" s="72" t="s">
        <v>78</v>
      </c>
      <c r="E2" s="73">
        <v>85000</v>
      </c>
      <c r="F2" s="73">
        <v>149000</v>
      </c>
      <c r="G2" s="70">
        <v>45</v>
      </c>
    </row>
    <row r="3" spans="1:7" ht="30" x14ac:dyDescent="0.25">
      <c r="A3" s="72" t="s">
        <v>79</v>
      </c>
      <c r="B3" s="72" t="s">
        <v>80</v>
      </c>
      <c r="C3" s="72" t="s">
        <v>77</v>
      </c>
      <c r="D3" s="72" t="s">
        <v>78</v>
      </c>
      <c r="E3" s="73">
        <v>65000</v>
      </c>
      <c r="F3" s="73">
        <v>119000</v>
      </c>
      <c r="G3" s="70">
        <v>32</v>
      </c>
    </row>
    <row r="4" spans="1:7" x14ac:dyDescent="0.25">
      <c r="A4" s="72" t="s">
        <v>81</v>
      </c>
      <c r="B4" s="72" t="s">
        <v>82</v>
      </c>
      <c r="C4" s="72" t="s">
        <v>83</v>
      </c>
      <c r="D4" s="72" t="s">
        <v>84</v>
      </c>
      <c r="E4" s="73">
        <v>110000</v>
      </c>
      <c r="F4" s="73">
        <v>189000</v>
      </c>
      <c r="G4" s="70">
        <v>28</v>
      </c>
    </row>
    <row r="5" spans="1:7" x14ac:dyDescent="0.25">
      <c r="A5" s="72" t="s">
        <v>85</v>
      </c>
      <c r="B5" s="72" t="s">
        <v>86</v>
      </c>
      <c r="C5" s="72" t="s">
        <v>83</v>
      </c>
      <c r="D5" s="72" t="s">
        <v>78</v>
      </c>
      <c r="E5" s="73">
        <v>75000</v>
      </c>
      <c r="F5" s="73">
        <v>129000</v>
      </c>
      <c r="G5" s="70">
        <v>37</v>
      </c>
    </row>
    <row r="6" spans="1:7" x14ac:dyDescent="0.25">
      <c r="A6" s="72" t="s">
        <v>87</v>
      </c>
      <c r="B6" s="72" t="s">
        <v>88</v>
      </c>
      <c r="C6" s="72" t="s">
        <v>83</v>
      </c>
      <c r="D6" s="72" t="s">
        <v>78</v>
      </c>
      <c r="E6" s="73">
        <v>90000</v>
      </c>
      <c r="F6" s="73">
        <v>159000</v>
      </c>
      <c r="G6" s="70">
        <v>50</v>
      </c>
    </row>
    <row r="7" spans="1:7" x14ac:dyDescent="0.25">
      <c r="A7" s="72" t="s">
        <v>89</v>
      </c>
      <c r="B7" s="72" t="s">
        <v>90</v>
      </c>
      <c r="C7" s="72" t="s">
        <v>91</v>
      </c>
      <c r="D7" s="72" t="s">
        <v>78</v>
      </c>
      <c r="E7" s="73">
        <v>70000</v>
      </c>
      <c r="F7" s="73">
        <v>125000</v>
      </c>
      <c r="G7" s="70">
        <v>41</v>
      </c>
    </row>
    <row r="8" spans="1:7" x14ac:dyDescent="0.25">
      <c r="A8" s="72" t="s">
        <v>92</v>
      </c>
      <c r="B8" s="72" t="s">
        <v>93</v>
      </c>
      <c r="C8" s="72" t="s">
        <v>91</v>
      </c>
      <c r="D8" s="72" t="s">
        <v>78</v>
      </c>
      <c r="E8" s="73">
        <v>95000</v>
      </c>
      <c r="F8" s="73">
        <v>169000</v>
      </c>
      <c r="G8" s="70">
        <v>25</v>
      </c>
    </row>
    <row r="9" spans="1:7" x14ac:dyDescent="0.25">
      <c r="A9" s="72" t="s">
        <v>94</v>
      </c>
      <c r="B9" s="72" t="s">
        <v>95</v>
      </c>
      <c r="C9" s="72" t="s">
        <v>96</v>
      </c>
      <c r="D9" s="72" t="s">
        <v>78</v>
      </c>
      <c r="E9" s="73">
        <v>175000</v>
      </c>
      <c r="F9" s="73">
        <v>299000</v>
      </c>
      <c r="G9" s="70">
        <v>17</v>
      </c>
    </row>
    <row r="10" spans="1:7" x14ac:dyDescent="0.25">
      <c r="A10" s="72" t="s">
        <v>97</v>
      </c>
      <c r="B10" s="72" t="s">
        <v>98</v>
      </c>
      <c r="C10" s="72" t="s">
        <v>96</v>
      </c>
      <c r="D10" s="72" t="s">
        <v>78</v>
      </c>
      <c r="E10" s="73">
        <v>145000</v>
      </c>
      <c r="F10" s="73">
        <v>249000</v>
      </c>
      <c r="G10" s="70">
        <v>23</v>
      </c>
    </row>
    <row r="11" spans="1:7" x14ac:dyDescent="0.25">
      <c r="A11" s="72" t="s">
        <v>99</v>
      </c>
      <c r="B11" s="72" t="s">
        <v>100</v>
      </c>
      <c r="C11" s="72" t="s">
        <v>101</v>
      </c>
      <c r="D11" s="72" t="s">
        <v>78</v>
      </c>
      <c r="E11" s="73">
        <v>325000</v>
      </c>
      <c r="F11" s="73">
        <v>549000</v>
      </c>
      <c r="G11" s="70">
        <v>12</v>
      </c>
    </row>
    <row r="12" spans="1:7" x14ac:dyDescent="0.25">
      <c r="A12" s="72" t="s">
        <v>102</v>
      </c>
      <c r="B12" s="72" t="s">
        <v>103</v>
      </c>
      <c r="C12" s="72" t="s">
        <v>101</v>
      </c>
      <c r="D12" s="72" t="s">
        <v>78</v>
      </c>
      <c r="E12" s="73">
        <v>260000</v>
      </c>
      <c r="F12" s="73">
        <v>449000</v>
      </c>
      <c r="G12" s="70">
        <v>15</v>
      </c>
    </row>
    <row r="13" spans="1:7" x14ac:dyDescent="0.25">
      <c r="A13" s="72" t="s">
        <v>104</v>
      </c>
      <c r="B13" s="72" t="s">
        <v>105</v>
      </c>
      <c r="C13" s="72" t="s">
        <v>106</v>
      </c>
      <c r="D13" s="72" t="s">
        <v>78</v>
      </c>
      <c r="E13" s="73">
        <v>55000</v>
      </c>
      <c r="F13" s="73">
        <v>99000</v>
      </c>
      <c r="G13" s="70">
        <v>60</v>
      </c>
    </row>
    <row r="14" spans="1:7" x14ac:dyDescent="0.25">
      <c r="A14" s="72" t="s">
        <v>107</v>
      </c>
      <c r="B14" s="72" t="s">
        <v>108</v>
      </c>
      <c r="C14" s="72" t="s">
        <v>106</v>
      </c>
      <c r="D14" s="72" t="s">
        <v>84</v>
      </c>
      <c r="E14" s="73">
        <v>80000</v>
      </c>
      <c r="F14" s="73">
        <v>139000</v>
      </c>
      <c r="G14" s="70">
        <v>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C3D8-D144-4D76-A6D0-682AAA0797BC}">
  <sheetPr codeName="Sheet8"/>
  <dimension ref="A1:J3"/>
  <sheetViews>
    <sheetView zoomScale="130" zoomScaleNormal="130" workbookViewId="0"/>
  </sheetViews>
  <sheetFormatPr defaultRowHeight="15" x14ac:dyDescent="0.25"/>
  <cols>
    <col min="1" max="1" width="1.140625" style="37" customWidth="1"/>
    <col min="2" max="2" width="14.5703125" style="37" customWidth="1"/>
    <col min="3" max="3" width="5.85546875" style="37" customWidth="1"/>
    <col min="4" max="4" width="3" style="38" customWidth="1"/>
    <col min="5" max="5" width="2.7109375" style="38" customWidth="1"/>
    <col min="6" max="16384" width="9.140625" style="38"/>
  </cols>
  <sheetData>
    <row r="1" spans="1:10" s="36" customFormat="1" ht="8.25" customHeight="1" x14ac:dyDescent="0.25">
      <c r="A1" s="41"/>
      <c r="B1" s="41"/>
      <c r="C1" s="41"/>
    </row>
    <row r="2" spans="1:10" s="36" customFormat="1" ht="28.5" customHeight="1" x14ac:dyDescent="0.55000000000000004">
      <c r="A2" s="41"/>
      <c r="B2" s="41"/>
      <c r="C2" s="41"/>
      <c r="F2" s="40"/>
      <c r="G2" s="39"/>
      <c r="H2" s="39"/>
      <c r="I2" s="39"/>
      <c r="J2" s="39"/>
    </row>
    <row r="3" spans="1:10" s="36" customFormat="1" ht="6.75" customHeight="1" x14ac:dyDescent="0.25">
      <c r="A3" s="41"/>
      <c r="B3" s="41"/>
      <c r="C3" s="4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7A22-DF48-4C37-8B25-8E457C45F6C7}">
  <sheetPr codeName="Sheet9"/>
  <dimension ref="A1:J3"/>
  <sheetViews>
    <sheetView zoomScale="130" zoomScaleNormal="130" workbookViewId="0"/>
  </sheetViews>
  <sheetFormatPr defaultRowHeight="15" x14ac:dyDescent="0.25"/>
  <cols>
    <col min="1" max="1" width="1.140625" style="37" customWidth="1"/>
    <col min="2" max="2" width="14.5703125" style="37" customWidth="1"/>
    <col min="3" max="3" width="5.85546875" style="37" customWidth="1"/>
    <col min="4" max="4" width="3" style="38" customWidth="1"/>
    <col min="5" max="5" width="2.7109375" style="38" customWidth="1"/>
    <col min="6" max="16384" width="9.140625" style="38"/>
  </cols>
  <sheetData>
    <row r="1" spans="1:10" s="36" customFormat="1" ht="8.25" customHeight="1" x14ac:dyDescent="0.25">
      <c r="A1" s="41"/>
      <c r="B1" s="41"/>
      <c r="C1" s="41"/>
    </row>
    <row r="2" spans="1:10" s="36" customFormat="1" ht="28.5" customHeight="1" x14ac:dyDescent="0.55000000000000004">
      <c r="A2" s="41"/>
      <c r="B2" s="41"/>
      <c r="C2" s="41"/>
      <c r="F2" s="40"/>
      <c r="G2" s="39"/>
      <c r="H2" s="39"/>
      <c r="I2" s="39"/>
      <c r="J2" s="39"/>
    </row>
    <row r="3" spans="1:10" s="36" customFormat="1" ht="6.75" customHeight="1" x14ac:dyDescent="0.25">
      <c r="A3" s="41"/>
      <c r="B3" s="41"/>
      <c r="C3" s="4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578E-463C-4B40-A483-8804501C7969}">
  <sheetPr codeName="Sheet2"/>
  <dimension ref="A1:H26"/>
  <sheetViews>
    <sheetView workbookViewId="0">
      <selection activeCell="E33" sqref="E33"/>
    </sheetView>
  </sheetViews>
  <sheetFormatPr defaultRowHeight="15" x14ac:dyDescent="0.25"/>
  <cols>
    <col min="1" max="1" width="21.140625" customWidth="1"/>
    <col min="2" max="3" width="29.85546875" bestFit="1" customWidth="1"/>
    <col min="4" max="4" width="46" bestFit="1" customWidth="1"/>
    <col min="5" max="5" width="37.140625" customWidth="1"/>
    <col min="6" max="6" width="16" bestFit="1" customWidth="1"/>
    <col min="7" max="7" width="12" style="1" bestFit="1" customWidth="1"/>
    <col min="8" max="8" width="32.85546875" bestFit="1" customWidth="1"/>
  </cols>
  <sheetData>
    <row r="1" spans="1:8" x14ac:dyDescent="0.25">
      <c r="A1" t="s">
        <v>34</v>
      </c>
      <c r="B1" t="s">
        <v>29</v>
      </c>
      <c r="C1" t="s">
        <v>30</v>
      </c>
      <c r="D1" t="s">
        <v>33</v>
      </c>
      <c r="E1" t="s">
        <v>31</v>
      </c>
      <c r="F1" t="s">
        <v>32</v>
      </c>
      <c r="G1" s="1" t="s">
        <v>17</v>
      </c>
      <c r="H1" t="s">
        <v>18</v>
      </c>
    </row>
    <row r="2" spans="1:8" x14ac:dyDescent="0.25">
      <c r="A2" t="s">
        <v>35</v>
      </c>
      <c r="B2" t="s">
        <v>37</v>
      </c>
      <c r="C2" t="s">
        <v>40</v>
      </c>
      <c r="D2" t="s">
        <v>38</v>
      </c>
      <c r="E2" t="s">
        <v>41</v>
      </c>
      <c r="F2" t="s">
        <v>39</v>
      </c>
      <c r="G2" s="1">
        <v>81278856758</v>
      </c>
      <c r="H2" s="23" t="s">
        <v>36</v>
      </c>
    </row>
    <row r="3" spans="1:8" x14ac:dyDescent="0.25">
      <c r="A3" t="s">
        <v>112</v>
      </c>
      <c r="B3" t="s">
        <v>113</v>
      </c>
      <c r="C3" t="s">
        <v>114</v>
      </c>
      <c r="D3" t="s">
        <v>115</v>
      </c>
      <c r="E3" t="s">
        <v>41</v>
      </c>
      <c r="F3" t="s">
        <v>116</v>
      </c>
      <c r="G3" s="1">
        <v>81234567001</v>
      </c>
      <c r="H3" t="s">
        <v>117</v>
      </c>
    </row>
    <row r="4" spans="1:8" x14ac:dyDescent="0.25">
      <c r="A4" t="s">
        <v>118</v>
      </c>
      <c r="B4" t="s">
        <v>119</v>
      </c>
      <c r="C4" t="s">
        <v>120</v>
      </c>
      <c r="D4" t="s">
        <v>121</v>
      </c>
      <c r="E4" t="s">
        <v>122</v>
      </c>
      <c r="F4" t="s">
        <v>123</v>
      </c>
      <c r="G4" s="1">
        <v>81234567002</v>
      </c>
      <c r="H4" t="s">
        <v>124</v>
      </c>
    </row>
    <row r="5" spans="1:8" x14ac:dyDescent="0.25">
      <c r="A5" t="s">
        <v>125</v>
      </c>
      <c r="B5" t="s">
        <v>126</v>
      </c>
      <c r="C5" t="s">
        <v>127</v>
      </c>
      <c r="D5" t="s">
        <v>128</v>
      </c>
      <c r="E5" t="s">
        <v>129</v>
      </c>
      <c r="F5" t="s">
        <v>130</v>
      </c>
      <c r="G5" s="1">
        <v>81234567003</v>
      </c>
      <c r="H5" t="s">
        <v>131</v>
      </c>
    </row>
    <row r="6" spans="1:8" x14ac:dyDescent="0.25">
      <c r="A6" t="s">
        <v>132</v>
      </c>
      <c r="B6" t="s">
        <v>133</v>
      </c>
      <c r="C6" t="s">
        <v>134</v>
      </c>
      <c r="D6" t="s">
        <v>135</v>
      </c>
      <c r="E6" t="s">
        <v>41</v>
      </c>
      <c r="F6" t="s">
        <v>136</v>
      </c>
      <c r="G6" s="1">
        <v>81234567004</v>
      </c>
      <c r="H6" t="s">
        <v>137</v>
      </c>
    </row>
    <row r="7" spans="1:8" x14ac:dyDescent="0.25">
      <c r="A7" t="s">
        <v>138</v>
      </c>
      <c r="B7" t="s">
        <v>139</v>
      </c>
      <c r="C7" t="s">
        <v>140</v>
      </c>
      <c r="D7" t="s">
        <v>141</v>
      </c>
      <c r="E7" t="s">
        <v>142</v>
      </c>
      <c r="F7" t="s">
        <v>143</v>
      </c>
      <c r="G7" s="1">
        <v>81234567005</v>
      </c>
      <c r="H7" t="s">
        <v>144</v>
      </c>
    </row>
    <row r="8" spans="1:8" x14ac:dyDescent="0.25">
      <c r="A8" t="s">
        <v>145</v>
      </c>
      <c r="B8" t="s">
        <v>146</v>
      </c>
      <c r="C8" t="s">
        <v>147</v>
      </c>
      <c r="D8" t="s">
        <v>148</v>
      </c>
      <c r="E8" t="s">
        <v>142</v>
      </c>
      <c r="F8" t="s">
        <v>149</v>
      </c>
      <c r="G8" s="1">
        <v>81234567006</v>
      </c>
      <c r="H8" t="s">
        <v>150</v>
      </c>
    </row>
    <row r="9" spans="1:8" x14ac:dyDescent="0.25">
      <c r="A9" t="s">
        <v>151</v>
      </c>
      <c r="B9" t="s">
        <v>152</v>
      </c>
      <c r="C9" t="s">
        <v>153</v>
      </c>
      <c r="D9" t="s">
        <v>154</v>
      </c>
      <c r="E9" t="s">
        <v>155</v>
      </c>
      <c r="F9" t="s">
        <v>156</v>
      </c>
      <c r="G9" s="1">
        <v>81234567007</v>
      </c>
      <c r="H9" t="s">
        <v>157</v>
      </c>
    </row>
    <row r="10" spans="1:8" x14ac:dyDescent="0.25">
      <c r="A10" t="s">
        <v>158</v>
      </c>
      <c r="B10" t="s">
        <v>159</v>
      </c>
      <c r="C10" t="s">
        <v>160</v>
      </c>
      <c r="D10" t="s">
        <v>161</v>
      </c>
      <c r="E10" t="s">
        <v>162</v>
      </c>
      <c r="F10" t="s">
        <v>163</v>
      </c>
      <c r="G10" s="1">
        <v>81234567008</v>
      </c>
      <c r="H10" t="s">
        <v>164</v>
      </c>
    </row>
    <row r="11" spans="1:8" x14ac:dyDescent="0.25">
      <c r="A11" t="s">
        <v>165</v>
      </c>
      <c r="B11" t="s">
        <v>166</v>
      </c>
      <c r="C11" t="s">
        <v>167</v>
      </c>
      <c r="D11" t="s">
        <v>168</v>
      </c>
      <c r="E11" t="s">
        <v>169</v>
      </c>
      <c r="F11" t="s">
        <v>170</v>
      </c>
      <c r="G11" s="1">
        <v>81234567009</v>
      </c>
      <c r="H11" t="s">
        <v>171</v>
      </c>
    </row>
    <row r="12" spans="1:8" x14ac:dyDescent="0.25">
      <c r="A12" t="s">
        <v>172</v>
      </c>
      <c r="B12" t="s">
        <v>173</v>
      </c>
      <c r="C12" t="s">
        <v>120</v>
      </c>
      <c r="D12" t="s">
        <v>174</v>
      </c>
      <c r="E12" t="s">
        <v>175</v>
      </c>
      <c r="F12" t="s">
        <v>176</v>
      </c>
      <c r="G12" s="1">
        <v>81234567010</v>
      </c>
      <c r="H12" t="s">
        <v>177</v>
      </c>
    </row>
    <row r="13" spans="1:8" x14ac:dyDescent="0.25">
      <c r="A13" t="s">
        <v>178</v>
      </c>
      <c r="B13" t="s">
        <v>179</v>
      </c>
      <c r="C13" t="s">
        <v>180</v>
      </c>
      <c r="D13" t="s">
        <v>181</v>
      </c>
      <c r="E13" t="s">
        <v>175</v>
      </c>
      <c r="F13" t="s">
        <v>182</v>
      </c>
      <c r="G13" s="1">
        <v>81234567011</v>
      </c>
      <c r="H13" t="s">
        <v>183</v>
      </c>
    </row>
    <row r="14" spans="1:8" x14ac:dyDescent="0.25">
      <c r="A14" t="s">
        <v>184</v>
      </c>
      <c r="B14" t="s">
        <v>185</v>
      </c>
      <c r="C14" t="s">
        <v>186</v>
      </c>
      <c r="D14" t="s">
        <v>187</v>
      </c>
      <c r="E14" t="s">
        <v>188</v>
      </c>
      <c r="F14" t="s">
        <v>189</v>
      </c>
      <c r="G14" s="1">
        <v>81234567012</v>
      </c>
      <c r="H14" t="s">
        <v>190</v>
      </c>
    </row>
    <row r="15" spans="1:8" x14ac:dyDescent="0.25">
      <c r="A15" t="s">
        <v>191</v>
      </c>
      <c r="B15" t="s">
        <v>192</v>
      </c>
      <c r="C15" t="s">
        <v>193</v>
      </c>
      <c r="D15" t="s">
        <v>194</v>
      </c>
      <c r="E15" t="s">
        <v>188</v>
      </c>
      <c r="F15" t="s">
        <v>195</v>
      </c>
      <c r="G15" s="1">
        <v>81234567013</v>
      </c>
      <c r="H15" t="s">
        <v>196</v>
      </c>
    </row>
    <row r="16" spans="1:8" x14ac:dyDescent="0.25">
      <c r="A16" t="s">
        <v>197</v>
      </c>
      <c r="B16" t="s">
        <v>198</v>
      </c>
      <c r="C16" t="s">
        <v>199</v>
      </c>
      <c r="D16" t="s">
        <v>200</v>
      </c>
      <c r="E16" t="s">
        <v>201</v>
      </c>
      <c r="F16" t="s">
        <v>202</v>
      </c>
      <c r="G16" s="1">
        <v>81234567014</v>
      </c>
      <c r="H16" t="s">
        <v>203</v>
      </c>
    </row>
    <row r="17" spans="1:8" x14ac:dyDescent="0.25">
      <c r="A17" t="s">
        <v>204</v>
      </c>
      <c r="B17" t="s">
        <v>205</v>
      </c>
      <c r="C17" t="s">
        <v>206</v>
      </c>
      <c r="D17" t="s">
        <v>207</v>
      </c>
      <c r="E17" t="s">
        <v>208</v>
      </c>
      <c r="F17" t="s">
        <v>209</v>
      </c>
      <c r="G17" s="1">
        <v>81234567015</v>
      </c>
      <c r="H17" t="s">
        <v>210</v>
      </c>
    </row>
    <row r="18" spans="1:8" x14ac:dyDescent="0.25">
      <c r="A18" t="s">
        <v>211</v>
      </c>
      <c r="B18" t="s">
        <v>212</v>
      </c>
      <c r="C18" t="s">
        <v>213</v>
      </c>
      <c r="D18" t="s">
        <v>214</v>
      </c>
      <c r="E18" t="s">
        <v>215</v>
      </c>
      <c r="F18" t="s">
        <v>216</v>
      </c>
      <c r="G18" s="1">
        <v>81234567016</v>
      </c>
      <c r="H18" t="s">
        <v>217</v>
      </c>
    </row>
    <row r="19" spans="1:8" x14ac:dyDescent="0.25">
      <c r="A19" t="s">
        <v>218</v>
      </c>
      <c r="B19" t="s">
        <v>219</v>
      </c>
      <c r="C19" t="s">
        <v>220</v>
      </c>
      <c r="D19" t="s">
        <v>221</v>
      </c>
      <c r="E19" t="s">
        <v>222</v>
      </c>
      <c r="F19" t="s">
        <v>223</v>
      </c>
      <c r="G19" s="1">
        <v>81234567017</v>
      </c>
      <c r="H19" t="s">
        <v>224</v>
      </c>
    </row>
    <row r="20" spans="1:8" x14ac:dyDescent="0.25">
      <c r="A20" t="s">
        <v>225</v>
      </c>
      <c r="B20" t="s">
        <v>226</v>
      </c>
      <c r="C20" t="s">
        <v>227</v>
      </c>
      <c r="D20" t="s">
        <v>228</v>
      </c>
      <c r="E20" t="s">
        <v>229</v>
      </c>
      <c r="F20" t="s">
        <v>230</v>
      </c>
      <c r="G20" s="1">
        <v>81234567018</v>
      </c>
      <c r="H20" t="s">
        <v>231</v>
      </c>
    </row>
    <row r="21" spans="1:8" x14ac:dyDescent="0.25">
      <c r="A21" t="s">
        <v>232</v>
      </c>
      <c r="B21" t="s">
        <v>233</v>
      </c>
      <c r="C21" t="s">
        <v>234</v>
      </c>
      <c r="D21" t="s">
        <v>235</v>
      </c>
      <c r="E21" t="s">
        <v>236</v>
      </c>
      <c r="F21" t="s">
        <v>237</v>
      </c>
      <c r="G21" s="1">
        <v>81234567019</v>
      </c>
      <c r="H21" t="s">
        <v>238</v>
      </c>
    </row>
    <row r="22" spans="1:8" x14ac:dyDescent="0.25">
      <c r="A22" t="s">
        <v>239</v>
      </c>
      <c r="B22" t="s">
        <v>240</v>
      </c>
      <c r="C22" t="s">
        <v>241</v>
      </c>
      <c r="D22" t="s">
        <v>242</v>
      </c>
      <c r="E22" t="s">
        <v>243</v>
      </c>
      <c r="F22" t="s">
        <v>244</v>
      </c>
      <c r="G22" s="1">
        <v>81234567020</v>
      </c>
      <c r="H22" t="s">
        <v>245</v>
      </c>
    </row>
    <row r="23" spans="1:8" x14ac:dyDescent="0.25">
      <c r="A23" t="s">
        <v>246</v>
      </c>
      <c r="B23" t="s">
        <v>247</v>
      </c>
      <c r="C23" t="s">
        <v>248</v>
      </c>
      <c r="D23" t="s">
        <v>249</v>
      </c>
      <c r="E23" t="s">
        <v>250</v>
      </c>
      <c r="F23" t="s">
        <v>251</v>
      </c>
      <c r="G23" s="1">
        <v>81234567021</v>
      </c>
      <c r="H23" t="s">
        <v>252</v>
      </c>
    </row>
    <row r="24" spans="1:8" x14ac:dyDescent="0.25">
      <c r="A24" t="s">
        <v>253</v>
      </c>
      <c r="B24" t="s">
        <v>254</v>
      </c>
      <c r="C24" t="s">
        <v>255</v>
      </c>
      <c r="D24" t="s">
        <v>256</v>
      </c>
      <c r="E24" t="s">
        <v>257</v>
      </c>
      <c r="F24" t="s">
        <v>258</v>
      </c>
      <c r="G24" s="1">
        <v>81234567022</v>
      </c>
      <c r="H24" t="s">
        <v>259</v>
      </c>
    </row>
    <row r="25" spans="1:8" x14ac:dyDescent="0.25">
      <c r="A25" t="s">
        <v>260</v>
      </c>
      <c r="B25" t="s">
        <v>261</v>
      </c>
      <c r="C25" t="s">
        <v>262</v>
      </c>
      <c r="D25" t="s">
        <v>263</v>
      </c>
      <c r="E25" t="s">
        <v>264</v>
      </c>
      <c r="F25" t="s">
        <v>265</v>
      </c>
      <c r="G25" s="1">
        <v>81234567023</v>
      </c>
      <c r="H25" t="s">
        <v>266</v>
      </c>
    </row>
    <row r="26" spans="1:8" x14ac:dyDescent="0.25">
      <c r="A26" t="s">
        <v>267</v>
      </c>
      <c r="B26" t="s">
        <v>268</v>
      </c>
      <c r="C26" t="s">
        <v>269</v>
      </c>
      <c r="D26" t="s">
        <v>270</v>
      </c>
      <c r="E26" t="s">
        <v>271</v>
      </c>
      <c r="F26" t="s">
        <v>272</v>
      </c>
      <c r="G26" s="1">
        <v>81234567024</v>
      </c>
      <c r="H26" t="s">
        <v>273</v>
      </c>
    </row>
  </sheetData>
  <phoneticPr fontId="11" type="noConversion"/>
  <hyperlinks>
    <hyperlink ref="H2" r:id="rId1" xr:uid="{26BAE303-D12F-4A9B-A02B-305FCAAD38D4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Dashboard</vt:lpstr>
      <vt:lpstr>Create Invoice</vt:lpstr>
      <vt:lpstr>Invoice Database</vt:lpstr>
      <vt:lpstr>Invoice Details</vt:lpstr>
      <vt:lpstr>Invoice Template</vt:lpstr>
      <vt:lpstr>Product Database</vt:lpstr>
      <vt:lpstr>Manage Customer</vt:lpstr>
      <vt:lpstr>Manage Product</vt:lpstr>
      <vt:lpstr>Customer Database</vt:lpstr>
      <vt:lpstr>Dashboard!cust_name</vt:lpstr>
      <vt:lpstr>cust_name</vt:lpstr>
      <vt:lpstr>'Invoice Template'!Print_Area</vt:lpstr>
      <vt:lpstr>selectedCust</vt:lpstr>
      <vt:lpstr>SelectedInvoice</vt:lpstr>
      <vt:lpstr>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Ghossan</dc:creator>
  <cp:lastModifiedBy>Ahmad Ghossan</cp:lastModifiedBy>
  <cp:lastPrinted>2026-08-25T05:24:38Z</cp:lastPrinted>
  <dcterms:created xsi:type="dcterms:W3CDTF">2026-08-23T04:04:34Z</dcterms:created>
  <dcterms:modified xsi:type="dcterms:W3CDTF">2026-08-26T03:17:58Z</dcterms:modified>
</cp:coreProperties>
</file>