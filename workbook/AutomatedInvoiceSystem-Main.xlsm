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712ECE66-9B37-4C14-8F8C-2CF8B2869720}" xr6:coauthVersionLast="47" xr6:coauthVersionMax="47" xr10:uidLastSave="{00000000-0000-0000-0000-000000000000}"/>
  <bookViews>
    <workbookView xWindow="-7125" yWindow="6315" windowWidth="20400" windowHeight="11295" activeTab="1" xr2:uid="{017F8815-80FA-4AD7-93B9-87DA21A4F4D4}"/>
  </bookViews>
  <sheets>
    <sheet name="Dashboard" sheetId="9" r:id="rId1"/>
    <sheet name="Create Invoice" sheetId="10" r:id="rId2"/>
    <sheet name="Invoice Template" sheetId="1" r:id="rId3"/>
    <sheet name="Invoice Database" sheetId="3" r:id="rId4"/>
    <sheet name="Invoice Details" sheetId="11" r:id="rId5"/>
    <sheet name="Product Database" sheetId="4" r:id="rId6"/>
    <sheet name="Manage Customer" sheetId="7" r:id="rId7"/>
    <sheet name="Manage Product" sheetId="8" r:id="rId8"/>
    <sheet name="Customer Database" sheetId="2" r:id="rId9"/>
  </sheets>
  <functionGroups builtInGroupCount="19"/>
  <definedNames>
    <definedName name="cust_name" localSheetId="0">CustomerList[Customer Company]</definedName>
    <definedName name="cust_name">CustomerList[Customer Company]</definedName>
    <definedName name="_xlnm.Print_Area" localSheetId="2">'Invoice Template'!$A$1:$K$48</definedName>
    <definedName name="selectedCust">'Create Invoice'!$K$16</definedName>
    <definedName name="SelectedInvoice">'Create Invoice'!$J$6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7" i="1" l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G34" i="10"/>
  <c r="R47" i="10"/>
  <c r="U47" i="10" s="1"/>
  <c r="N47" i="10"/>
  <c r="K47" i="10"/>
  <c r="R46" i="10"/>
  <c r="U46" i="10" s="1"/>
  <c r="N46" i="10"/>
  <c r="K46" i="10"/>
  <c r="R45" i="10"/>
  <c r="U45" i="10" s="1"/>
  <c r="N45" i="10"/>
  <c r="K45" i="10"/>
  <c r="R44" i="10"/>
  <c r="U44" i="10" s="1"/>
  <c r="N44" i="10"/>
  <c r="K44" i="10"/>
  <c r="R43" i="10"/>
  <c r="U43" i="10" s="1"/>
  <c r="N43" i="10"/>
  <c r="K43" i="10"/>
  <c r="R42" i="10"/>
  <c r="U42" i="10" s="1"/>
  <c r="N42" i="10"/>
  <c r="K42" i="10"/>
  <c r="R41" i="10"/>
  <c r="U41" i="10" s="1"/>
  <c r="N41" i="10"/>
  <c r="K41" i="10"/>
  <c r="R40" i="10"/>
  <c r="U40" i="10" s="1"/>
  <c r="N40" i="10"/>
  <c r="K40" i="10"/>
  <c r="R39" i="10"/>
  <c r="U39" i="10" s="1"/>
  <c r="N39" i="10"/>
  <c r="K39" i="10"/>
  <c r="R38" i="10"/>
  <c r="U38" i="10" s="1"/>
  <c r="N38" i="10"/>
  <c r="K38" i="10"/>
  <c r="R37" i="10"/>
  <c r="U37" i="10" s="1"/>
  <c r="N37" i="10"/>
  <c r="K37" i="10"/>
  <c r="R36" i="10"/>
  <c r="U36" i="10" s="1"/>
  <c r="N36" i="10"/>
  <c r="K36" i="10"/>
  <c r="R35" i="10"/>
  <c r="U35" i="10" s="1"/>
  <c r="N35" i="10"/>
  <c r="K35" i="10"/>
  <c r="R34" i="10"/>
  <c r="U34" i="10" s="1"/>
  <c r="N34" i="10"/>
  <c r="K34" i="10"/>
  <c r="R33" i="10"/>
  <c r="U33" i="10" s="1"/>
  <c r="N33" i="10"/>
  <c r="K33" i="10"/>
  <c r="G39" i="10" l="1"/>
  <c r="G40" i="10"/>
  <c r="G41" i="10"/>
  <c r="G42" i="10"/>
  <c r="G43" i="10"/>
  <c r="G44" i="10"/>
  <c r="G45" i="10"/>
  <c r="G46" i="10"/>
  <c r="G47" i="10"/>
  <c r="K48" i="10" l="1"/>
  <c r="G35" i="10"/>
  <c r="G36" i="10"/>
  <c r="G37" i="10"/>
  <c r="G38" i="10"/>
  <c r="R48" i="10"/>
  <c r="U48" i="10" s="1"/>
  <c r="N48" i="10"/>
  <c r="G48" i="10"/>
  <c r="T26" i="10"/>
  <c r="T25" i="10"/>
  <c r="T19" i="10"/>
  <c r="T18" i="10"/>
  <c r="U51" i="10" l="1"/>
  <c r="J37" i="1"/>
  <c r="J38" i="1" s="1"/>
  <c r="J39" i="1" s="1"/>
  <c r="U52" i="10" l="1"/>
  <c r="U53" i="10" s="1"/>
  <c r="U54" i="10" s="1"/>
  <c r="J40" i="1"/>
</calcChain>
</file>

<file path=xl/sharedStrings.xml><?xml version="1.0" encoding="utf-8"?>
<sst xmlns="http://schemas.openxmlformats.org/spreadsheetml/2006/main" count="463" uniqueCount="288">
  <si>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</si>
  <si>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</si>
  <si>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</si>
  <si>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</si>
  <si>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</si>
  <si>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</si>
  <si>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</si>
  <si>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</si>
  <si>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</si>
  <si>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</si>
  <si>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</si>
  <si>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</si>
  <si>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</si>
  <si>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</si>
  <si>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</si>
  <si>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</si>
  <si>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</si>
  <si>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</si>
  <si>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</si>
  <si>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</si>
  <si>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</si>
  <si>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</si>
  <si>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</si>
  <si>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</si>
  <si>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</si>
  <si>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</si>
  <si>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</si>
  <si>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</si>
  <si>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</si>
  <si>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</si>
  <si>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</si>
  <si>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</si>
  <si>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</si>
  <si>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</si>
  <si>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</si>
  <si>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</si>
  <si>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</si>
  <si>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</si>
  <si>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</si>
  <si>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</si>
  <si>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</si>
  <si>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</si>
  <si>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</si>
  <si>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</si>
  <si>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</si>
  <si>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</si>
  <si>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</si>
  <si>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</si>
  <si>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</si>
  <si>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</si>
  <si>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</si>
  <si>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</si>
  <si>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</si>
  <si>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</si>
  <si>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</si>
  <si>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</si>
  <si>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</si>
  <si>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</si>
  <si>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</si>
  <si>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</si>
  <si>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</si>
  <si>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</si>
  <si>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</si>
  <si>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</si>
  <si>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</si>
  <si>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</si>
  <si>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</si>
  <si>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</si>
  <si>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</si>
  <si>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</si>
  <si>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</si>
  <si>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</si>
  <si>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</si>
  <si>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</si>
  <si>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</si>
  <si>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</si>
  <si>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</si>
  <si>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</si>
  <si>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</si>
  <si>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</si>
  <si>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</si>
  <si>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</si>
  <si>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</si>
  <si>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</si>
  <si>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</si>
  <si>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</si>
  <si>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</si>
  <si>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</si>
  <si>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</si>
  <si>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</si>
  <si>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</si>
  <si>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</si>
  <si>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</si>
  <si>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</si>
  <si>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</si>
  <si>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</si>
  <si>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</si>
  <si>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</si>
  <si>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</si>
  <si>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</si>
  <si>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</si>
  <si>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</si>
  <si>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</si>
  <si>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</si>
  <si>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</si>
  <si>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</si>
  <si>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</si>
  <si>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</si>
  <si>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</si>
  <si>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</si>
  <si>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</si>
  <si>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</si>
  <si>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</si>
  <si>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</si>
  <si>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</si>
  <si>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</si>
  <si>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</si>
  <si>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</si>
  <si>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</si>
  <si>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</si>
  <si>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</si>
  <si>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</si>
  <si>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</si>
  <si>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</si>
  <si>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</si>
  <si>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</si>
  <si>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</si>
  <si>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</si>
  <si>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</si>
  <si>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</si>
  <si>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</si>
  <si>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</si>
  <si>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</si>
  <si>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</si>
  <si>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</si>
  <si>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</si>
  <si>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</si>
  <si>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</si>
  <si>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</si>
  <si>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</si>
  <si>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</si>
  <si>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</si>
  <si>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</si>
  <si>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</si>
  <si>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</si>
  <si>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</si>
  <si>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</si>
  <si>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</si>
  <si>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</si>
  <si>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</si>
  <si>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</si>
  <si>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</si>
  <si>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</si>
  <si>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</si>
  <si>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</si>
  <si>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</si>
  <si>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</si>
  <si>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</si>
  <si>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</si>
  <si>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</si>
  <si>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</si>
  <si>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</si>
  <si>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</si>
  <si>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</si>
  <si>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</si>
  <si>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</si>
  <si>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</si>
  <si>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</si>
  <si>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</si>
  <si>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</si>
  <si>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</si>
  <si>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</si>
  <si>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</si>
  <si>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</si>
  <si>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</si>
  <si>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</si>
  <si>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</si>
  <si>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</si>
  <si>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</si>
  <si>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</si>
  <si>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</si>
  <si>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</si>
  <si>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</si>
  <si>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</si>
  <si>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</si>
  <si>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</si>
  <si>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</si>
  <si>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</si>
  <si>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</si>
  <si>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</si>
  <si>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</si>
  <si>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</si>
  <si>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</si>
  <si>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</si>
  <si>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</si>
  <si>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</si>
  <si>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</si>
  <si>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</si>
  <si>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</si>
  <si>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</si>
  <si>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</si>
  <si>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</si>
  <si>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</si>
  <si>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</si>
  <si>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</si>
  <si>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</si>
  <si>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</si>
  <si>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</si>
  <si>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</si>
  <si>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</si>
  <si>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</si>
  <si>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</si>
  <si>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</si>
  <si>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</si>
  <si>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</si>
  <si>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</si>
  <si>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</si>
  <si>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</si>
  <si>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</si>
  <si>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</si>
  <si>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</si>
  <si>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</si>
  <si>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</si>
  <si>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</si>
  <si>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</si>
  <si>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</si>
  <si>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</si>
  <si>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</si>
  <si>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</si>
  <si>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</si>
  <si>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</si>
  <si>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</si>
  <si>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</si>
  <si>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</si>
  <si>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</si>
  <si>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</si>
  <si>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</si>
  <si>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</si>
  <si>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</si>
  <si>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</si>
  <si>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</si>
  <si>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</si>
  <si>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</si>
  <si>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</si>
  <si>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</si>
  <si>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</si>
  <si>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</si>
  <si>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</si>
  <si>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</si>
  <si>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</si>
  <si>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</si>
  <si>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</si>
  <si>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</si>
  <si>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</si>
  <si>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</si>
  <si>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</si>
  <si>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</si>
  <si>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</si>
  <si>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</si>
  <si>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</si>
  <si>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</si>
  <si>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</si>
  <si>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</si>
  <si>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</si>
  <si>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</si>
  <si>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</si>
  <si>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</si>
  <si>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</si>
  <si>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</si>
  <si>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</si>
  <si>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</si>
  <si>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</si>
  <si>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</si>
  <si>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</si>
  <si>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</si>
  <si>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(blanks)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</si>
  <si>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</si>
  <si>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</si>
  <si>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</si>
  <si>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</si>
  <si>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</si>
  <si>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</si>
  <si>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</si>
  <si>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</si>
  <si>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PO Number:</t>
  </si>
  <si>
    <t>INV-2026-PT XYZ-9</t>
  </si>
  <si>
    <t>INV-2026-PT Manado Lifestyle Center-10</t>
  </si>
  <si>
    <t>INV-2026-PT Makassar Retail Utama-11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</si>
</sst>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p&quot;#,##0.00;\-&quot;Rp&quot;#,##0.00"/>
    <numFmt numFmtId="44" formatCode="_-&quot;Rp&quot;* #,##0.00_-;\-&quot;Rp&quot;* #,##0.00_-;_-&quot;Rp&quot;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</cellStyleXfs>
  <cellXfs count="165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4" xfId="0" applyFont="1" applyBorder="1" applyAlignment="1">
      <alignment horizontal="left" vertical="center" wrapText="1"/>
    </xf>
    <xf numFmtId="14" fontId="7" fillId="0" borderId="24" xfId="0" applyNumberFormat="1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14" fontId="7" fillId="0" borderId="25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166" fontId="15" fillId="7" borderId="0" xfId="0" applyNumberFormat="1" applyFont="1" applyFill="1" applyBorder="1"/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4" borderId="13" xfId="0" applyFont="1" applyFill="1" applyBorder="1"/>
    <xf numFmtId="0" fontId="15" fillId="4" borderId="14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64" fontId="15" fillId="6" borderId="8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165" fontId="15" fillId="6" borderId="4" xfId="0" applyNumberFormat="1" applyFont="1" applyFill="1" applyBorder="1" applyAlignment="1">
      <alignment horizontal="center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12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left" vertical="center"/>
    </xf>
    <xf numFmtId="0" fontId="15" fillId="4" borderId="22" xfId="0" applyFont="1" applyFill="1" applyBorder="1" applyAlignment="1">
      <alignment horizontal="left" vertical="center"/>
    </xf>
    <xf numFmtId="14" fontId="15" fillId="4" borderId="21" xfId="0" applyNumberFormat="1" applyFont="1" applyFill="1" applyBorder="1" applyAlignment="1">
      <alignment horizontal="left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4" fillId="0" borderId="23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</cellXfs>
  <cellStyles count="3">
    <cellStyle name="Currency" xfId="2" builtinId="4"/>
    <cellStyle name="Hyperlink" xfId="1" builtinId="8"/>
    <cellStyle name="Normal" xfId="0" builtinId="0"/>
  </cellStyles>
  <dxfs count="23">
    <dxf>
      <fill>
        <patternFill patternType="darkGrid">
          <fgColor rgb="FFFF9797"/>
          <bgColor auto="1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1" formatCode="&quot;Rp&quot;#,##0.00;\-&quot;Rp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hyperlink" Target="#'Manage Customer'!A1"/><Relationship Id="rId7" Type="http://schemas.openxmlformats.org/officeDocument/2006/relationships/image" Target="../media/image11.png"/><Relationship Id="rId12" Type="http://schemas.openxmlformats.org/officeDocument/2006/relationships/image" Target="../media/image8.svg"/><Relationship Id="rId17" Type="http://schemas.openxmlformats.org/officeDocument/2006/relationships/image" Target="../media/image17.png"/><Relationship Id="rId2" Type="http://schemas.openxmlformats.org/officeDocument/2006/relationships/hyperlink" Target="#'Create Invoice'!A1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5" Type="http://schemas.openxmlformats.org/officeDocument/2006/relationships/image" Target="../media/image15.png"/><Relationship Id="rId10" Type="http://schemas.openxmlformats.org/officeDocument/2006/relationships/image" Target="../media/image6.svg"/><Relationship Id="rId19" Type="http://schemas.openxmlformats.org/officeDocument/2006/relationships/image" Target="../media/image19.pn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10" Type="http://schemas.openxmlformats.org/officeDocument/2006/relationships/image" Target="../media/image30.svg"/><Relationship Id="rId4" Type="http://schemas.openxmlformats.org/officeDocument/2006/relationships/image" Target="../media/image24.sv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2.svg"/><Relationship Id="rId4" Type="http://schemas.openxmlformats.org/officeDocument/2006/relationships/hyperlink" Target="#'Manage Product'!A1"/><Relationship Id="rId9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4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3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0</xdr:col>
      <xdr:colOff>10379</xdr:colOff>
      <xdr:row>9</xdr:row>
      <xdr:rowOff>185808</xdr:rowOff>
    </xdr:from>
    <xdr:to>
      <xdr:col>2</xdr:col>
      <xdr:colOff>324716</xdr:colOff>
      <xdr:row>12</xdr:row>
      <xdr:rowOff>10766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D37CE6-448B-40B5-9E41-58C3FFFAA42F}"/>
            </a:ext>
          </a:extLst>
        </xdr:cNvPr>
        <xdr:cNvSpPr txBox="1"/>
      </xdr:nvSpPr>
      <xdr:spPr>
        <a:xfrm>
          <a:off x="10379" y="1808311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 editAs="absolute">
    <xdr:from>
      <xdr:col>0</xdr:col>
      <xdr:colOff>4646</xdr:colOff>
      <xdr:row>12</xdr:row>
      <xdr:rowOff>82493</xdr:rowOff>
    </xdr:from>
    <xdr:to>
      <xdr:col>2</xdr:col>
      <xdr:colOff>381000</xdr:colOff>
      <xdr:row>16</xdr:row>
      <xdr:rowOff>4769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4E1A3C-7D4F-4F5F-860B-A7B84C2746D7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</xdr:col>
      <xdr:colOff>94510</xdr:colOff>
      <xdr:row>10</xdr:row>
      <xdr:rowOff>103070</xdr:rowOff>
    </xdr:from>
    <xdr:to>
      <xdr:col>1</xdr:col>
      <xdr:colOff>290180</xdr:colOff>
      <xdr:row>11</xdr:row>
      <xdr:rowOff>108671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E5A7A06-A691-4234-82C1-9C6F27238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1901" y="1916073"/>
          <a:ext cx="195670" cy="195643"/>
        </a:xfrm>
        <a:prstGeom prst="rect">
          <a:avLst/>
        </a:prstGeom>
      </xdr:spPr>
    </xdr:pic>
    <xdr:clientData/>
  </xdr:twoCellAnchor>
  <xdr:twoCellAnchor editAs="absolute">
    <xdr:from>
      <xdr:col>1</xdr:col>
      <xdr:colOff>64659</xdr:colOff>
      <xdr:row>13</xdr:row>
      <xdr:rowOff>73627</xdr:rowOff>
    </xdr:from>
    <xdr:to>
      <xdr:col>1</xdr:col>
      <xdr:colOff>329003</xdr:colOff>
      <xdr:row>15</xdr:row>
      <xdr:rowOff>147196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8CBE43E-7084-41D2-AAB0-CF66119F1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174340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52889" y="1346603"/>
          <a:ext cx="711759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6428" y="1347107"/>
          <a:ext cx="708771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2302" y="134464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190788</xdr:colOff>
      <xdr:row>5</xdr:row>
      <xdr:rowOff>71255</xdr:rowOff>
    </xdr:from>
    <xdr:to>
      <xdr:col>28</xdr:col>
      <xdr:colOff>406704</xdr:colOff>
      <xdr:row>8</xdr:row>
      <xdr:rowOff>77390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994CA2D-E011-0009-4E73-80376DDAA7A9}"/>
            </a:ext>
          </a:extLst>
        </xdr:cNvPr>
        <xdr:cNvGrpSpPr/>
      </xdr:nvGrpSpPr>
      <xdr:grpSpPr>
        <a:xfrm>
          <a:off x="9892681" y="1037362"/>
          <a:ext cx="1467773" cy="482385"/>
          <a:chOff x="9821650" y="1031082"/>
          <a:chExt cx="1241088" cy="482385"/>
        </a:xfrm>
      </xdr:grpSpPr>
      <xdr:sp macro="[0]!exportToPdf" textlink="">
        <xdr:nvSpPr>
          <xdr:cNvPr id="14" name="TextBox 13">
            <a:extLst>
              <a:ext uri="{FF2B5EF4-FFF2-40B4-BE49-F238E27FC236}">
                <a16:creationId xmlns:a16="http://schemas.microsoft.com/office/drawing/2014/main" id="{8DEED80F-23D7-AACA-2022-3009838C47A0}"/>
              </a:ext>
            </a:extLst>
          </xdr:cNvPr>
          <xdr:cNvSpPr txBox="1"/>
        </xdr:nvSpPr>
        <xdr:spPr>
          <a:xfrm>
            <a:off x="9821650" y="1031082"/>
            <a:ext cx="1241088" cy="482385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540000" rtlCol="0" anchor="ctr"/>
          <a:lstStyle/>
          <a:p>
            <a:pPr algn="ctr"/>
            <a:r>
              <a:rPr lang="id-ID" sz="1050" b="0" i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Export to PDF</a:t>
            </a:r>
            <a:endParaRPr lang="id-ID" sz="600" b="0" i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18" descr="Printer with solid fill">
            <a:extLst>
              <a:ext uri="{FF2B5EF4-FFF2-40B4-BE49-F238E27FC236}">
                <a16:creationId xmlns:a16="http://schemas.microsoft.com/office/drawing/2014/main" id="{1BD27DD8-CB4B-B352-B74D-B7D348467C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919133" y="1089225"/>
            <a:ext cx="296155" cy="3528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7042969" y="2984084"/>
          <a:ext cx="1473708" cy="505547"/>
          <a:chOff x="6302828" y="2364943"/>
          <a:chExt cx="137160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6302828" y="2364943"/>
                <a:ext cx="137160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7040038" y="3687827"/>
          <a:ext cx="1472243" cy="497363"/>
          <a:chOff x="6299912" y="3121086"/>
          <a:chExt cx="1370135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200-000010040000}"/>
                  </a:ext>
                </a:extLst>
              </xdr:cNvPr>
              <xdr:cNvSpPr/>
            </xdr:nvSpPr>
            <xdr:spPr bwMode="auto">
              <a:xfrm>
                <a:off x="6299912" y="3121086"/>
                <a:ext cx="1370135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7052745" y="2238192"/>
          <a:ext cx="1438983" cy="536122"/>
          <a:chOff x="6324599" y="2208909"/>
          <a:chExt cx="1340304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6324599" y="2208909"/>
                <a:ext cx="1340304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7040193" y="1592848"/>
          <a:ext cx="1473708" cy="502920"/>
          <a:chOff x="6303990" y="1573941"/>
          <a:chExt cx="137398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200-00000D040000}"/>
                  </a:ext>
                </a:extLst>
              </xdr:cNvPr>
              <xdr:cNvSpPr/>
            </xdr:nvSpPr>
            <xdr:spPr bwMode="auto">
              <a:xfrm>
                <a:off x="6303990" y="1573941"/>
                <a:ext cx="137398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7019662" y="4435142"/>
          <a:ext cx="1472243" cy="496077"/>
          <a:chOff x="6340359" y="4395952"/>
          <a:chExt cx="1368819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200-000016040000}"/>
                  </a:ext>
                </a:extLst>
              </xdr:cNvPr>
              <xdr:cNvSpPr/>
            </xdr:nvSpPr>
            <xdr:spPr bwMode="auto">
              <a:xfrm>
                <a:off x="6340359" y="4395952"/>
                <a:ext cx="1368819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K7" totalsRowShown="0" headerRowDxfId="22">
  <autoFilter ref="A1:K7" xr:uid="{48AD3E33-C02C-4FD6-B132-D42572744827}"/>
  <tableColumns count="11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DxfId="21"/>
    <tableColumn id="4" xr3:uid="{8885CFEA-C519-428F-94A1-D43DAD6354D0}" name="Date Issued" dataDxfId="20"/>
    <tableColumn id="5" xr3:uid="{09A5A2F6-A920-4DF8-AA7F-93802D537595}" name="Date Due " dataDxfId="19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6" totalsRowShown="0" headerRowDxfId="18" dataDxfId="17">
  <autoFilter ref="A1:H26" xr:uid="{8EE95C34-3980-4E68-8BA5-2DCB8AB7BC82}"/>
  <tableColumns count="8">
    <tableColumn id="1" xr3:uid="{6C812849-C759-46C7-9E4A-A5C193980998}" name="Invoice_Name" dataDxfId="16"/>
    <tableColumn id="4" xr3:uid="{5B05EC9A-A25F-4729-914C-DC9920BBD14A}" name="Item_Code" dataDxfId="15"/>
    <tableColumn id="9" xr3:uid="{72C6B80B-6D87-43F6-A2A7-E82A9BEA9D8C}" name="Description" dataDxfId="14"/>
    <tableColumn id="10" xr3:uid="{2F8D76A9-850D-4073-999E-AD08AD98D9DD}" name="Unit" dataDxfId="13"/>
    <tableColumn id="11" xr3:uid="{27AA92B2-1678-44FB-82C6-00A5E8DE178C}" name="Qty" dataDxfId="12"/>
    <tableColumn id="12" xr3:uid="{0618E5C7-ADCE-4797-8B1A-C4B63694FCD5}" name="Unit_Price" dataDxfId="11"/>
    <tableColumn id="13" xr3:uid="{61A95336-8C36-48DE-98B9-2775C9E098C3}" name="Amount" dataDxfId="10"/>
    <tableColumn id="14" xr3:uid="{99A22CC8-5A31-4C20-A8B4-74A65F902FD7}" name="Column1" dataDxfId="9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8">
  <autoFilter ref="A1:G14" xr:uid="{B0880F31-074E-4996-9F20-27767B2FCE1A}"/>
  <tableColumns count="7">
    <tableColumn id="1" xr3:uid="{17DA06EE-BB37-4772-B584-29A3E80071DE}" name="SKU" dataDxfId="7"/>
    <tableColumn id="2" xr3:uid="{C232A6CE-D94D-4DFD-B059-811186550D74}" name="Product Name" dataDxfId="6"/>
    <tableColumn id="3" xr3:uid="{68F42BAD-B95A-4A15-BD8A-EB336A360506}" name="Category" dataDxfId="5"/>
    <tableColumn id="4" xr3:uid="{24694E8C-AAE0-4401-990D-FD86275F11AD}" name="Unit" dataDxfId="4"/>
    <tableColumn id="5" xr3:uid="{E0DAD40E-65C6-4676-A827-8127720E6680}" name="Cost Price" dataDxfId="3"/>
    <tableColumn id="6" xr3:uid="{1CB87F91-C55A-4FAC-A988-4DB8067D06D1}" name="Selling Price" dataDxfId="2"/>
    <tableColumn id="7" xr3:uid="{714A8D32-98D5-4331-89ED-8DC3DD80A91F}" name="Stock" dataDxfId="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Normal="100" workbookViewId="0">
      <selection activeCell="D28" sqref="D28"/>
    </sheetView>
  </sheetViews>
  <sheetFormatPr defaultRowHeight="15" x14ac:dyDescent="0.25"/>
  <cols>
    <col min="1" max="1" width="1.140625" style="27" customWidth="1"/>
    <col min="2" max="2" width="14.5703125" style="27" customWidth="1"/>
    <col min="3" max="3" width="5.85546875" style="27" customWidth="1"/>
    <col min="4" max="4" width="3" style="28" customWidth="1"/>
    <col min="5" max="5" width="2.7109375" style="28" customWidth="1"/>
    <col min="6" max="16384" width="9.140625" style="28"/>
  </cols>
  <sheetData>
    <row r="1" spans="1:10" s="26" customFormat="1" ht="8.25" customHeight="1" x14ac:dyDescent="0.25">
      <c r="A1" s="31"/>
      <c r="B1" s="31"/>
      <c r="C1" s="31"/>
    </row>
    <row r="2" spans="1:10" s="26" customFormat="1" ht="28.5" customHeight="1" x14ac:dyDescent="0.55000000000000004">
      <c r="A2" s="31"/>
      <c r="B2" s="31"/>
      <c r="C2" s="31"/>
      <c r="F2" s="30"/>
      <c r="G2" s="29"/>
      <c r="H2" s="29"/>
      <c r="I2" s="29"/>
      <c r="J2" s="29"/>
    </row>
    <row r="3" spans="1:10" s="26" customFormat="1" ht="6.75" customHeight="1" x14ac:dyDescent="0.25">
      <c r="A3" s="31"/>
      <c r="B3" s="31"/>
      <c r="C3" s="3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C61"/>
  <sheetViews>
    <sheetView tabSelected="1" topLeftCell="A6" zoomScale="70" zoomScaleNormal="70" workbookViewId="0">
      <selection activeCell="AD16" sqref="AD16"/>
    </sheetView>
  </sheetViews>
  <sheetFormatPr defaultRowHeight="15" x14ac:dyDescent="0.25"/>
  <cols>
    <col min="1" max="1" width="1.140625" style="27" customWidth="1"/>
    <col min="2" max="2" width="14.5703125" style="27" customWidth="1"/>
    <col min="3" max="3" width="5.85546875" style="27" customWidth="1"/>
    <col min="4" max="4" width="7.7109375" style="28" customWidth="1"/>
    <col min="5" max="5" width="2.7109375" style="28" customWidth="1"/>
    <col min="6" max="6" width="2.85546875" style="28" customWidth="1"/>
    <col min="7" max="7" width="4.140625" style="28" customWidth="1"/>
    <col min="8" max="8" width="9.140625" style="28"/>
    <col min="9" max="9" width="0.85546875" style="28" customWidth="1"/>
    <col min="10" max="10" width="2.5703125" style="28" customWidth="1"/>
    <col min="11" max="11" width="8" style="28" customWidth="1"/>
    <col min="12" max="12" width="14.42578125" style="28" customWidth="1"/>
    <col min="13" max="13" width="3.42578125" style="28" customWidth="1"/>
    <col min="14" max="14" width="9.140625" style="28"/>
    <col min="15" max="15" width="2.28515625" style="28" customWidth="1"/>
    <col min="16" max="16" width="2" style="28" customWidth="1"/>
    <col min="17" max="17" width="6.85546875" style="76" customWidth="1"/>
    <col min="18" max="18" width="2.42578125" style="28" customWidth="1"/>
    <col min="19" max="19" width="2.28515625" style="28" customWidth="1"/>
    <col min="20" max="20" width="9.5703125" style="28" customWidth="1"/>
    <col min="21" max="21" width="2.140625" style="28" customWidth="1"/>
    <col min="22" max="22" width="13.7109375" style="28" customWidth="1"/>
    <col min="23" max="23" width="5.5703125" style="28" customWidth="1"/>
    <col min="24" max="24" width="2.7109375" style="28" customWidth="1"/>
    <col min="25" max="25" width="9.140625" style="28" customWidth="1"/>
    <col min="26" max="26" width="4.85546875" style="28" customWidth="1"/>
    <col min="27" max="27" width="9.140625" style="28"/>
    <col min="28" max="28" width="4.7109375" style="28" customWidth="1"/>
    <col min="29" max="16384" width="9.140625" style="28"/>
  </cols>
  <sheetData>
    <row r="1" spans="1:29" s="34" customFormat="1" ht="8.25" customHeight="1" x14ac:dyDescent="0.25">
      <c r="A1" s="33"/>
      <c r="B1" s="33"/>
      <c r="C1" s="33"/>
      <c r="Q1" s="67"/>
    </row>
    <row r="2" spans="1:29" s="34" customFormat="1" ht="28.5" customHeight="1" x14ac:dyDescent="0.55000000000000004">
      <c r="A2" s="33"/>
      <c r="B2" s="33"/>
      <c r="C2" s="33"/>
      <c r="F2" s="35"/>
      <c r="G2" s="36"/>
      <c r="H2" s="36"/>
      <c r="I2" s="36"/>
      <c r="J2" s="36"/>
      <c r="K2" s="36"/>
      <c r="L2" s="36"/>
      <c r="Q2" s="67"/>
    </row>
    <row r="3" spans="1:29" s="37" customFormat="1" ht="6.75" customHeight="1" x14ac:dyDescent="0.25">
      <c r="A3" s="33"/>
      <c r="B3" s="33"/>
      <c r="C3" s="33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68"/>
    </row>
    <row r="4" spans="1:29" ht="22.5" customHeight="1" x14ac:dyDescent="0.25">
      <c r="C4" s="38"/>
      <c r="D4" s="32"/>
      <c r="E4" s="32"/>
      <c r="F4" s="43"/>
      <c r="G4" s="44"/>
      <c r="H4" s="44"/>
      <c r="I4" s="44"/>
      <c r="J4" s="44"/>
      <c r="K4" s="44"/>
      <c r="L4" s="44"/>
      <c r="M4" s="44"/>
      <c r="N4" s="43"/>
      <c r="O4" s="41"/>
      <c r="P4" s="41"/>
      <c r="Q4" s="69"/>
      <c r="R4" s="41"/>
      <c r="S4" s="41"/>
      <c r="T4" s="41"/>
      <c r="U4" s="41"/>
      <c r="V4" s="41"/>
      <c r="W4" s="41"/>
      <c r="X4" s="41"/>
      <c r="Y4" s="32"/>
    </row>
    <row r="5" spans="1:29" ht="9.75" customHeight="1" x14ac:dyDescent="0.25">
      <c r="C5" s="38"/>
      <c r="D5" s="32"/>
      <c r="E5" s="32"/>
      <c r="F5" s="47"/>
      <c r="G5" s="48"/>
      <c r="H5" s="48"/>
      <c r="I5" s="47"/>
      <c r="J5" s="47"/>
      <c r="K5" s="47"/>
      <c r="L5" s="47"/>
      <c r="M5" s="48"/>
      <c r="N5" s="41"/>
      <c r="O5" s="45"/>
      <c r="P5" s="45"/>
      <c r="Q5" s="70"/>
      <c r="R5" s="45"/>
      <c r="S5" s="45"/>
      <c r="T5" s="45"/>
      <c r="U5" s="45"/>
      <c r="V5" s="46"/>
      <c r="W5" s="46"/>
      <c r="X5" s="46"/>
      <c r="Y5" s="32"/>
      <c r="Z5" s="40"/>
      <c r="AA5" s="40"/>
      <c r="AB5" s="40"/>
      <c r="AC5" s="40"/>
    </row>
    <row r="6" spans="1:29" x14ac:dyDescent="0.25">
      <c r="C6" s="38"/>
      <c r="D6" s="32"/>
      <c r="E6" s="32"/>
      <c r="F6" s="54"/>
      <c r="G6" s="48" t="s">
        <v>62</v>
      </c>
      <c r="H6" s="48"/>
      <c r="I6" s="48"/>
      <c r="J6" s="135" t="s">
        <v>287</v>
      </c>
      <c r="K6" s="136"/>
      <c r="L6" s="137"/>
      <c r="M6" s="48"/>
      <c r="N6" s="41"/>
      <c r="O6" s="143" t="s">
        <v>49</v>
      </c>
      <c r="P6" s="143"/>
      <c r="Q6" s="143"/>
      <c r="R6" s="143"/>
      <c r="S6" s="143"/>
      <c r="T6" s="143"/>
      <c r="U6" s="143"/>
      <c r="V6" s="143"/>
      <c r="W6" s="143"/>
      <c r="X6" s="143"/>
      <c r="Y6" s="32"/>
      <c r="Z6" s="40"/>
      <c r="AA6" s="40"/>
      <c r="AB6" s="40"/>
      <c r="AC6" s="40"/>
    </row>
    <row r="7" spans="1:29" ht="7.5" customHeight="1" x14ac:dyDescent="0.25">
      <c r="C7" s="38"/>
      <c r="D7" s="32"/>
      <c r="E7" s="32"/>
      <c r="F7" s="54"/>
      <c r="G7" s="48"/>
      <c r="H7" s="48"/>
      <c r="I7" s="48"/>
      <c r="J7" s="48"/>
      <c r="K7" s="48"/>
      <c r="L7" s="48"/>
      <c r="M7" s="48"/>
      <c r="N7" s="41"/>
      <c r="O7" s="49"/>
      <c r="P7" s="49"/>
      <c r="Q7" s="71"/>
      <c r="R7" s="49"/>
      <c r="S7" s="49"/>
      <c r="T7" s="49"/>
      <c r="U7" s="49"/>
      <c r="V7" s="49"/>
      <c r="W7" s="49"/>
      <c r="X7" s="49"/>
      <c r="Y7" s="32"/>
      <c r="Z7" s="40"/>
      <c r="AA7" s="40"/>
      <c r="AB7" s="40"/>
      <c r="AC7" s="40"/>
    </row>
    <row r="8" spans="1:29" x14ac:dyDescent="0.25">
      <c r="C8" s="38"/>
      <c r="D8" s="32"/>
      <c r="E8" s="32"/>
      <c r="F8" s="54"/>
      <c r="G8" s="48"/>
      <c r="H8" s="48"/>
      <c r="I8" s="48"/>
      <c r="J8" s="48"/>
      <c r="K8" s="48"/>
      <c r="L8" s="48"/>
      <c r="M8" s="48"/>
      <c r="N8" s="41"/>
      <c r="O8" s="50"/>
      <c r="P8" s="141" t="s">
        <v>54</v>
      </c>
      <c r="Q8" s="141"/>
      <c r="R8" s="141"/>
      <c r="S8" s="141"/>
      <c r="T8" s="141"/>
      <c r="U8" s="51"/>
      <c r="V8" s="144">
        <v>11</v>
      </c>
      <c r="W8" s="145"/>
      <c r="X8" s="50"/>
      <c r="Y8" s="32"/>
      <c r="Z8" s="40"/>
      <c r="AA8" s="40"/>
      <c r="AB8" s="40"/>
      <c r="AC8" s="40"/>
    </row>
    <row r="9" spans="1:29" x14ac:dyDescent="0.25">
      <c r="C9" s="38"/>
      <c r="D9" s="32"/>
      <c r="E9" s="32"/>
      <c r="F9" s="54"/>
      <c r="G9" s="48"/>
      <c r="H9" s="48"/>
      <c r="I9" s="48"/>
      <c r="J9" s="48"/>
      <c r="K9" s="48"/>
      <c r="L9" s="48"/>
      <c r="M9" s="48"/>
      <c r="N9" s="41"/>
      <c r="O9" s="50"/>
      <c r="P9" s="141" t="s">
        <v>55</v>
      </c>
      <c r="Q9" s="141"/>
      <c r="R9" s="141"/>
      <c r="S9" s="141"/>
      <c r="T9" s="141"/>
      <c r="U9" s="51"/>
      <c r="V9" s="144">
        <v>12</v>
      </c>
      <c r="W9" s="145"/>
      <c r="X9" s="50"/>
      <c r="Y9" s="32"/>
      <c r="Z9" s="40"/>
      <c r="AA9" s="40"/>
      <c r="AB9" s="40"/>
      <c r="AC9" s="40"/>
    </row>
    <row r="10" spans="1:29" x14ac:dyDescent="0.25">
      <c r="C10" s="38"/>
      <c r="D10" s="32"/>
      <c r="E10" s="32"/>
      <c r="F10" s="54"/>
      <c r="G10" s="48"/>
      <c r="H10" s="48"/>
      <c r="I10" s="48"/>
      <c r="J10" s="48"/>
      <c r="K10" s="48"/>
      <c r="L10" s="48"/>
      <c r="M10" s="48"/>
      <c r="N10" s="41"/>
      <c r="O10" s="50"/>
      <c r="P10" s="141" t="s">
        <v>56</v>
      </c>
      <c r="Q10" s="141"/>
      <c r="R10" s="141"/>
      <c r="S10" s="141"/>
      <c r="T10" s="141"/>
      <c r="U10" s="51"/>
      <c r="V10" s="146">
        <v>46263</v>
      </c>
      <c r="W10" s="145"/>
      <c r="X10" s="50"/>
      <c r="Y10" s="32"/>
      <c r="Z10" s="40"/>
      <c r="AA10" s="40"/>
      <c r="AB10" s="40"/>
      <c r="AC10" s="40"/>
    </row>
    <row r="11" spans="1:29" x14ac:dyDescent="0.25">
      <c r="C11" s="38"/>
      <c r="D11" s="32"/>
      <c r="E11" s="32"/>
      <c r="N11" s="41"/>
      <c r="O11" s="50"/>
      <c r="P11" s="141" t="s">
        <v>57</v>
      </c>
      <c r="Q11" s="141"/>
      <c r="R11" s="141"/>
      <c r="S11" s="141"/>
      <c r="T11" s="141"/>
      <c r="U11" s="51"/>
      <c r="V11" s="144">
        <v>60</v>
      </c>
      <c r="W11" s="145"/>
      <c r="X11" s="50"/>
      <c r="Y11" s="32"/>
      <c r="Z11" s="40"/>
      <c r="AA11" s="40"/>
      <c r="AB11" s="40"/>
      <c r="AC11" s="40"/>
    </row>
    <row r="12" spans="1:29" x14ac:dyDescent="0.25">
      <c r="C12" s="38"/>
      <c r="D12" s="32"/>
      <c r="E12" s="32"/>
      <c r="N12" s="42"/>
      <c r="O12" s="52"/>
      <c r="P12" s="52"/>
      <c r="Q12" s="65"/>
      <c r="R12" s="52"/>
      <c r="S12" s="52"/>
      <c r="T12" s="52"/>
      <c r="U12" s="52"/>
      <c r="V12" s="52"/>
      <c r="W12" s="52"/>
      <c r="X12" s="52"/>
      <c r="Z12" s="40"/>
      <c r="AA12" s="40"/>
      <c r="AB12" s="40"/>
      <c r="AC12" s="40"/>
    </row>
    <row r="13" spans="1:29" ht="7.5" customHeight="1" x14ac:dyDescent="0.25">
      <c r="C13" s="38"/>
      <c r="D13" s="32"/>
      <c r="E13" s="32"/>
      <c r="F13" s="55"/>
      <c r="G13" s="42"/>
      <c r="H13" s="42"/>
      <c r="I13" s="42"/>
      <c r="J13" s="42"/>
      <c r="K13" s="42"/>
      <c r="L13" s="42"/>
      <c r="M13" s="42"/>
      <c r="N13" s="42"/>
      <c r="O13" s="41"/>
      <c r="P13" s="41"/>
      <c r="Q13" s="69"/>
      <c r="R13" s="41"/>
      <c r="S13" s="41"/>
      <c r="T13" s="41"/>
      <c r="U13" s="41"/>
      <c r="V13" s="41"/>
      <c r="W13" s="41"/>
      <c r="X13" s="41"/>
      <c r="Z13" s="40"/>
      <c r="AA13" s="40"/>
      <c r="AB13" s="40"/>
      <c r="AC13" s="40"/>
    </row>
    <row r="14" spans="1:29" ht="8.25" customHeight="1" x14ac:dyDescent="0.25">
      <c r="C14" s="38"/>
      <c r="D14" s="32"/>
      <c r="E14" s="32"/>
      <c r="F14" s="55"/>
      <c r="G14" s="42"/>
      <c r="H14" s="42"/>
      <c r="I14" s="42"/>
      <c r="J14" s="42"/>
      <c r="K14" s="42"/>
      <c r="L14" s="42"/>
      <c r="M14" s="42"/>
      <c r="N14" s="42"/>
      <c r="O14" s="41"/>
      <c r="P14" s="41"/>
      <c r="Q14" s="69"/>
      <c r="R14" s="41"/>
      <c r="S14" s="41"/>
      <c r="T14" s="41"/>
      <c r="U14" s="41"/>
      <c r="V14" s="41"/>
      <c r="W14" s="41"/>
      <c r="X14" s="41"/>
      <c r="Z14" s="40"/>
      <c r="AA14" s="40"/>
      <c r="AB14" s="40"/>
      <c r="AC14" s="40"/>
    </row>
    <row r="15" spans="1:29" ht="6.75" customHeight="1" x14ac:dyDescent="0.25">
      <c r="C15" s="38"/>
      <c r="D15" s="32"/>
      <c r="E15" s="32"/>
      <c r="F15" s="54"/>
      <c r="G15" s="48"/>
      <c r="H15" s="48"/>
      <c r="I15" s="48"/>
      <c r="J15" s="48"/>
      <c r="K15" s="48"/>
      <c r="L15" s="48"/>
      <c r="M15" s="48"/>
      <c r="N15" s="42"/>
      <c r="O15" s="46"/>
      <c r="P15" s="46"/>
      <c r="Q15" s="72"/>
      <c r="R15" s="46"/>
      <c r="S15" s="46"/>
      <c r="T15" s="46"/>
      <c r="U15" s="46"/>
      <c r="V15" s="46"/>
      <c r="W15" s="46"/>
      <c r="X15" s="46"/>
      <c r="Z15" s="40"/>
      <c r="AA15" s="40"/>
      <c r="AB15" s="40"/>
      <c r="AC15" s="40"/>
    </row>
    <row r="16" spans="1:29" x14ac:dyDescent="0.25">
      <c r="C16" s="38"/>
      <c r="D16" s="32"/>
      <c r="E16" s="32"/>
      <c r="F16" s="54"/>
      <c r="G16" s="48" t="s">
        <v>52</v>
      </c>
      <c r="H16" s="48"/>
      <c r="I16" s="48"/>
      <c r="J16" s="40"/>
      <c r="K16" s="138" t="s">
        <v>215</v>
      </c>
      <c r="L16" s="139"/>
      <c r="M16" s="48"/>
      <c r="N16" s="42"/>
      <c r="O16" s="142" t="s">
        <v>2</v>
      </c>
      <c r="P16" s="142"/>
      <c r="Q16" s="142"/>
      <c r="R16" s="142"/>
      <c r="S16" s="142"/>
      <c r="T16" s="142"/>
      <c r="U16" s="142"/>
      <c r="V16" s="142"/>
      <c r="W16" s="142"/>
      <c r="X16" s="142"/>
      <c r="Z16" s="40"/>
      <c r="AA16" s="40"/>
      <c r="AB16" s="40"/>
      <c r="AC16" s="40"/>
    </row>
    <row r="17" spans="3:25" ht="8.25" customHeight="1" x14ac:dyDescent="0.25">
      <c r="C17" s="38"/>
      <c r="D17" s="32"/>
      <c r="E17" s="32"/>
      <c r="F17" s="54"/>
      <c r="G17" s="48"/>
      <c r="H17" s="48"/>
      <c r="I17" s="48"/>
      <c r="J17" s="48"/>
      <c r="K17" s="48"/>
      <c r="L17" s="48"/>
      <c r="M17" s="48"/>
      <c r="N17" s="42"/>
      <c r="O17" s="49"/>
      <c r="P17" s="49"/>
      <c r="Q17" s="71"/>
      <c r="R17" s="49"/>
      <c r="S17" s="49"/>
      <c r="T17" s="49"/>
      <c r="U17" s="49"/>
      <c r="V17" s="49"/>
      <c r="W17" s="49"/>
      <c r="X17" s="49"/>
    </row>
    <row r="18" spans="3:25" x14ac:dyDescent="0.25">
      <c r="C18" s="38"/>
      <c r="D18" s="32"/>
      <c r="E18" s="32"/>
      <c r="F18" s="55"/>
      <c r="G18" s="42"/>
      <c r="H18" s="42"/>
      <c r="I18" s="42"/>
      <c r="J18" s="42"/>
      <c r="K18" s="42"/>
      <c r="L18" s="42"/>
      <c r="M18" s="42"/>
      <c r="N18" s="41"/>
      <c r="O18" s="50"/>
      <c r="P18" s="50"/>
      <c r="Q18" s="141" t="s">
        <v>58</v>
      </c>
      <c r="R18" s="141"/>
      <c r="S18" s="51"/>
      <c r="T18" s="140" t="str">
        <f>IFERROR(VLOOKUP($K$16,'Customer Database'!A:H,1,FALSE),"")</f>
        <v>PT Makassar Retail Utama</v>
      </c>
      <c r="U18" s="140"/>
      <c r="V18" s="140"/>
      <c r="W18" s="140"/>
      <c r="X18" s="50"/>
      <c r="Y18" s="32"/>
    </row>
    <row r="19" spans="3:25" x14ac:dyDescent="0.25">
      <c r="C19" s="38"/>
      <c r="D19" s="32"/>
      <c r="E19" s="32"/>
      <c r="F19" s="41"/>
      <c r="G19" s="42"/>
      <c r="H19" s="41"/>
      <c r="I19" s="41"/>
      <c r="J19" s="42"/>
      <c r="K19" s="42"/>
      <c r="L19" s="42"/>
      <c r="M19" s="42"/>
      <c r="N19" s="41"/>
      <c r="O19" s="52"/>
      <c r="P19" s="52"/>
      <c r="Q19" s="113" t="s">
        <v>59</v>
      </c>
      <c r="R19" s="113"/>
      <c r="S19" s="77"/>
      <c r="T19" s="132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Ruko Panakkukang Square No. 18, Jl. Boulevard, Kel. Masale, Kec. Panakkukang, Makassar, Sulawesi Selatan, 90231, Indonesia</v>
      </c>
      <c r="U19" s="132"/>
      <c r="V19" s="132"/>
      <c r="W19" s="132"/>
      <c r="X19" s="52"/>
      <c r="Y19" s="32"/>
    </row>
    <row r="20" spans="3:25" ht="9.75" customHeight="1" x14ac:dyDescent="0.25">
      <c r="C20" s="38"/>
      <c r="D20" s="32"/>
      <c r="E20" s="32"/>
      <c r="F20" s="47"/>
      <c r="G20" s="48"/>
      <c r="H20" s="47"/>
      <c r="I20" s="47"/>
      <c r="J20" s="48"/>
      <c r="K20" s="48"/>
      <c r="L20" s="48"/>
      <c r="M20" s="48"/>
      <c r="N20" s="41"/>
      <c r="O20" s="46"/>
      <c r="P20" s="46"/>
      <c r="Q20" s="114"/>
      <c r="R20" s="114"/>
      <c r="S20" s="78"/>
      <c r="T20" s="133"/>
      <c r="U20" s="133"/>
      <c r="V20" s="133"/>
      <c r="W20" s="133"/>
      <c r="X20" s="46"/>
      <c r="Y20" s="32"/>
    </row>
    <row r="21" spans="3:25" ht="15.75" customHeight="1" x14ac:dyDescent="0.25">
      <c r="C21" s="38"/>
      <c r="D21" s="32"/>
      <c r="E21" s="32"/>
      <c r="F21" s="47"/>
      <c r="G21" s="48" t="s">
        <v>108</v>
      </c>
      <c r="H21" s="106"/>
      <c r="I21" s="47"/>
      <c r="J21" s="48"/>
      <c r="K21" s="48"/>
      <c r="L21" s="48"/>
      <c r="M21" s="48"/>
      <c r="N21" s="41"/>
      <c r="O21" s="46"/>
      <c r="P21" s="46"/>
      <c r="Q21" s="114"/>
      <c r="R21" s="114"/>
      <c r="S21" s="78"/>
      <c r="T21" s="133"/>
      <c r="U21" s="133"/>
      <c r="V21" s="133"/>
      <c r="W21" s="133"/>
      <c r="X21" s="46"/>
      <c r="Y21" s="32"/>
    </row>
    <row r="22" spans="3:25" ht="15.75" customHeight="1" x14ac:dyDescent="0.25">
      <c r="C22" s="38"/>
      <c r="D22" s="32"/>
      <c r="E22" s="32"/>
      <c r="F22" s="47"/>
      <c r="G22" s="111"/>
      <c r="H22" s="111"/>
      <c r="I22" s="111"/>
      <c r="J22" s="111"/>
      <c r="K22" s="111"/>
      <c r="L22" s="111"/>
      <c r="M22" s="48"/>
      <c r="N22" s="41"/>
      <c r="O22" s="46"/>
      <c r="P22" s="46"/>
      <c r="Q22" s="114"/>
      <c r="R22" s="114"/>
      <c r="S22" s="78"/>
      <c r="T22" s="133"/>
      <c r="U22" s="133"/>
      <c r="V22" s="133"/>
      <c r="W22" s="133"/>
      <c r="X22" s="46"/>
      <c r="Y22" s="32"/>
    </row>
    <row r="23" spans="3:25" ht="15.75" customHeight="1" x14ac:dyDescent="0.25">
      <c r="C23" s="38"/>
      <c r="D23" s="32"/>
      <c r="E23" s="32"/>
      <c r="F23" s="47"/>
      <c r="G23" s="112"/>
      <c r="H23" s="112"/>
      <c r="I23" s="112"/>
      <c r="J23" s="112"/>
      <c r="K23" s="112"/>
      <c r="L23" s="112"/>
      <c r="M23" s="48"/>
      <c r="N23" s="41"/>
      <c r="O23" s="46"/>
      <c r="P23" s="46"/>
      <c r="Q23" s="114"/>
      <c r="R23" s="114"/>
      <c r="S23" s="78"/>
      <c r="T23" s="133"/>
      <c r="U23" s="133"/>
      <c r="V23" s="133"/>
      <c r="W23" s="133"/>
      <c r="X23" s="46"/>
      <c r="Y23" s="32"/>
    </row>
    <row r="24" spans="3:25" ht="15.75" customHeight="1" x14ac:dyDescent="0.25">
      <c r="C24" s="38"/>
      <c r="D24" s="32"/>
      <c r="E24" s="32"/>
      <c r="F24" s="47"/>
      <c r="G24" s="112"/>
      <c r="H24" s="112"/>
      <c r="I24" s="112"/>
      <c r="J24" s="112"/>
      <c r="K24" s="112"/>
      <c r="L24" s="112"/>
      <c r="M24" s="48"/>
      <c r="N24" s="41"/>
      <c r="O24" s="49"/>
      <c r="P24" s="49"/>
      <c r="Q24" s="115"/>
      <c r="R24" s="115"/>
      <c r="S24" s="79"/>
      <c r="T24" s="134"/>
      <c r="U24" s="134"/>
      <c r="V24" s="134"/>
      <c r="W24" s="134"/>
      <c r="X24" s="49"/>
      <c r="Y24" s="32"/>
    </row>
    <row r="25" spans="3:25" x14ac:dyDescent="0.25">
      <c r="C25" s="38"/>
      <c r="D25" s="32"/>
      <c r="E25" s="32"/>
      <c r="F25" s="47"/>
      <c r="G25" s="112"/>
      <c r="H25" s="112"/>
      <c r="I25" s="112"/>
      <c r="J25" s="112"/>
      <c r="K25" s="112"/>
      <c r="L25" s="112"/>
      <c r="M25" s="48"/>
      <c r="N25" s="41"/>
      <c r="O25" s="50"/>
      <c r="P25" s="50"/>
      <c r="Q25" s="141" t="s">
        <v>60</v>
      </c>
      <c r="R25" s="141"/>
      <c r="S25" s="51"/>
      <c r="T25" s="127">
        <f>IFERROR(VLOOKUP($K$16,'Customer Database'!A:H,7,FALSE),"")</f>
        <v>81234567017</v>
      </c>
      <c r="U25" s="127"/>
      <c r="V25" s="127"/>
      <c r="W25" s="127"/>
      <c r="X25" s="50"/>
      <c r="Y25" s="32"/>
    </row>
    <row r="26" spans="3:25" x14ac:dyDescent="0.25">
      <c r="C26" s="38"/>
      <c r="D26" s="32"/>
      <c r="E26" s="32"/>
      <c r="F26" s="47"/>
      <c r="G26" s="112"/>
      <c r="H26" s="112"/>
      <c r="I26" s="112"/>
      <c r="J26" s="112"/>
      <c r="K26" s="112"/>
      <c r="L26" s="112"/>
      <c r="M26" s="48"/>
      <c r="N26" s="41"/>
      <c r="O26" s="50"/>
      <c r="P26" s="50"/>
      <c r="Q26" s="141" t="s">
        <v>61</v>
      </c>
      <c r="R26" s="141"/>
      <c r="S26" s="51"/>
      <c r="T26" s="127" t="str">
        <f>IFERROR(VLOOKUP($K$16,'Customer Database'!A:H,8,FALSE),"")</f>
        <v>finance@makassarretail.co.id</v>
      </c>
      <c r="U26" s="127"/>
      <c r="V26" s="127"/>
      <c r="W26" s="127"/>
      <c r="X26" s="50"/>
      <c r="Y26" s="32"/>
    </row>
    <row r="27" spans="3:25" x14ac:dyDescent="0.25">
      <c r="C27" s="38"/>
      <c r="D27" s="32"/>
      <c r="E27" s="32"/>
      <c r="F27" s="47"/>
      <c r="G27" s="48"/>
      <c r="H27" s="48"/>
      <c r="I27" s="48"/>
      <c r="J27" s="48"/>
      <c r="K27" s="48"/>
      <c r="L27" s="48"/>
      <c r="M27" s="48"/>
      <c r="N27" s="42"/>
      <c r="O27" s="52"/>
      <c r="P27" s="52"/>
      <c r="Q27" s="65"/>
      <c r="R27" s="52"/>
      <c r="S27" s="52"/>
      <c r="T27" s="52"/>
      <c r="U27" s="52"/>
      <c r="V27" s="52"/>
      <c r="W27" s="52"/>
      <c r="X27" s="52"/>
    </row>
    <row r="28" spans="3:25" x14ac:dyDescent="0.25">
      <c r="C28" s="38"/>
      <c r="D28" s="32"/>
      <c r="E28" s="32"/>
      <c r="F28" s="41"/>
      <c r="G28" s="42"/>
      <c r="H28" s="42"/>
      <c r="I28" s="42"/>
      <c r="J28" s="42"/>
      <c r="K28" s="42"/>
      <c r="L28" s="42"/>
      <c r="M28" s="42"/>
      <c r="N28" s="41"/>
      <c r="O28" s="41"/>
      <c r="P28" s="41"/>
      <c r="Q28" s="69"/>
      <c r="R28" s="41"/>
      <c r="S28" s="41"/>
      <c r="T28" s="41"/>
      <c r="U28" s="41"/>
      <c r="V28" s="41"/>
      <c r="W28" s="41"/>
      <c r="X28" s="41"/>
    </row>
    <row r="29" spans="3:25" x14ac:dyDescent="0.25">
      <c r="C29" s="38"/>
      <c r="D29" s="32"/>
      <c r="E29" s="32"/>
      <c r="F29" s="41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73"/>
      <c r="R29" s="42"/>
      <c r="S29" s="42"/>
      <c r="T29" s="42"/>
      <c r="U29" s="42"/>
      <c r="V29" s="42"/>
      <c r="W29" s="42"/>
      <c r="X29" s="42"/>
    </row>
    <row r="30" spans="3:25" x14ac:dyDescent="0.25">
      <c r="C30" s="38"/>
      <c r="D30" s="32"/>
      <c r="E30" s="32"/>
      <c r="F30" s="53"/>
      <c r="G30" s="46" t="s">
        <v>50</v>
      </c>
      <c r="H30" s="53"/>
      <c r="I30" s="53"/>
      <c r="J30" s="53"/>
      <c r="K30" s="53"/>
      <c r="L30" s="53"/>
      <c r="M30" s="53"/>
      <c r="N30" s="53"/>
      <c r="O30" s="53"/>
      <c r="P30" s="53"/>
      <c r="Q30" s="74"/>
      <c r="R30" s="53"/>
      <c r="S30" s="53"/>
      <c r="T30" s="53"/>
      <c r="U30" s="53"/>
      <c r="V30" s="53"/>
      <c r="W30" s="53"/>
      <c r="X30" s="53"/>
    </row>
    <row r="31" spans="3:25" ht="3.75" customHeight="1" x14ac:dyDescent="0.25">
      <c r="C31" s="38"/>
      <c r="D31" s="32"/>
      <c r="E31" s="32"/>
      <c r="F31" s="53"/>
      <c r="G31" s="46"/>
      <c r="H31" s="53"/>
      <c r="I31" s="53"/>
      <c r="J31" s="53"/>
      <c r="K31" s="53"/>
      <c r="L31" s="53"/>
      <c r="M31" s="53"/>
      <c r="N31" s="53"/>
      <c r="O31" s="53"/>
      <c r="P31" s="53"/>
      <c r="Q31" s="74"/>
      <c r="R31" s="53"/>
      <c r="S31" s="53"/>
      <c r="T31" s="53"/>
      <c r="U31" s="53"/>
      <c r="V31" s="53"/>
      <c r="W31" s="53"/>
      <c r="X31" s="53"/>
    </row>
    <row r="32" spans="3:25" x14ac:dyDescent="0.25">
      <c r="C32" s="38"/>
      <c r="D32" s="32"/>
      <c r="E32" s="32"/>
      <c r="F32" s="50"/>
      <c r="G32" s="57" t="s">
        <v>51</v>
      </c>
      <c r="H32" s="119" t="s">
        <v>65</v>
      </c>
      <c r="I32" s="119"/>
      <c r="J32" s="119"/>
      <c r="K32" s="117" t="s">
        <v>4</v>
      </c>
      <c r="L32" s="117"/>
      <c r="M32" s="117"/>
      <c r="N32" s="117" t="s">
        <v>68</v>
      </c>
      <c r="O32" s="117"/>
      <c r="P32" s="117" t="s">
        <v>5</v>
      </c>
      <c r="Q32" s="117"/>
      <c r="R32" s="117" t="s">
        <v>106</v>
      </c>
      <c r="S32" s="117"/>
      <c r="T32" s="117"/>
      <c r="U32" s="117" t="s">
        <v>6</v>
      </c>
      <c r="V32" s="117"/>
      <c r="W32" s="117"/>
      <c r="X32" s="50"/>
    </row>
    <row r="33" spans="3:24" x14ac:dyDescent="0.25">
      <c r="C33" s="38"/>
      <c r="D33" s="32"/>
      <c r="E33" s="32"/>
      <c r="F33" s="50"/>
      <c r="G33" s="57">
        <v>1</v>
      </c>
      <c r="H33" s="128" t="s">
        <v>78</v>
      </c>
      <c r="I33" s="129"/>
      <c r="J33" s="130"/>
      <c r="K33" s="127" t="str">
        <f>IFERROR(VLOOKUP($H33,'Product Database'!A:G, 2,FALSE),"")</f>
        <v>Glass Food Container Set</v>
      </c>
      <c r="L33" s="127"/>
      <c r="M33" s="127"/>
      <c r="N33" s="117" t="str">
        <f>IFERROR(VLOOKUP($H33,'Product Database'!A:G, 4,FALSE),"")</f>
        <v>Set</v>
      </c>
      <c r="O33" s="117"/>
      <c r="P33" s="120">
        <v>1</v>
      </c>
      <c r="Q33" s="121"/>
      <c r="R33" s="122">
        <f>IFERROR(VLOOKUP($H33, 'Product Database'!A:G, 6, FALSE), "")</f>
        <v>189000</v>
      </c>
      <c r="S33" s="116"/>
      <c r="T33" s="116"/>
      <c r="U33" s="116">
        <f>IFERROR(P33*R33, "")</f>
        <v>189000</v>
      </c>
      <c r="V33" s="117"/>
      <c r="W33" s="117"/>
      <c r="X33" s="56"/>
    </row>
    <row r="34" spans="3:24" x14ac:dyDescent="0.25">
      <c r="C34" s="38"/>
      <c r="D34" s="32"/>
      <c r="E34" s="32"/>
      <c r="F34" s="50"/>
      <c r="G34" s="57">
        <f>IF(H34&lt;&gt;"",G33+1,"")</f>
        <v>2</v>
      </c>
      <c r="H34" s="128" t="s">
        <v>82</v>
      </c>
      <c r="I34" s="129"/>
      <c r="J34" s="130"/>
      <c r="K34" s="127" t="str">
        <f>IFERROR(VLOOKUP($H34,'Product Database'!A:G, 2,FALSE),"")</f>
        <v>Wooden Cutting Board</v>
      </c>
      <c r="L34" s="127"/>
      <c r="M34" s="127"/>
      <c r="N34" s="117" t="str">
        <f>IFERROR(VLOOKUP($H34,'Product Database'!A:G, 4,FALSE),"")</f>
        <v>Pcs</v>
      </c>
      <c r="O34" s="117"/>
      <c r="P34" s="120">
        <v>1</v>
      </c>
      <c r="Q34" s="121"/>
      <c r="R34" s="122">
        <f>IFERROR(VLOOKUP($H34, 'Product Database'!A:G, 6, FALSE), "")</f>
        <v>129000</v>
      </c>
      <c r="S34" s="116"/>
      <c r="T34" s="116"/>
      <c r="U34" s="116">
        <f t="shared" ref="U34:U47" si="0">IFERROR(P34*R34, "")</f>
        <v>129000</v>
      </c>
      <c r="V34" s="117"/>
      <c r="W34" s="117"/>
      <c r="X34" s="56"/>
    </row>
    <row r="35" spans="3:24" x14ac:dyDescent="0.25">
      <c r="C35" s="38"/>
      <c r="D35" s="32"/>
      <c r="E35" s="32"/>
      <c r="F35" s="50"/>
      <c r="G35" s="88">
        <f t="shared" ref="G35:G47" si="1">IF(H35&lt;&gt;"",G34+1,"")</f>
        <v>3</v>
      </c>
      <c r="H35" s="128" t="s">
        <v>84</v>
      </c>
      <c r="I35" s="129"/>
      <c r="J35" s="130"/>
      <c r="K35" s="127" t="str">
        <f>IFERROR(VLOOKUP($H35,'Product Database'!A:G, 2,FALSE),"")</f>
        <v>Stainless Water Bottle</v>
      </c>
      <c r="L35" s="127"/>
      <c r="M35" s="127"/>
      <c r="N35" s="117" t="str">
        <f>IFERROR(VLOOKUP($H35,'Product Database'!A:G, 4,FALSE),"")</f>
        <v>Pcs</v>
      </c>
      <c r="O35" s="117"/>
      <c r="P35" s="120">
        <v>1</v>
      </c>
      <c r="Q35" s="121"/>
      <c r="R35" s="122">
        <f>IFERROR(VLOOKUP($H35, 'Product Database'!A:G, 6, FALSE), "")</f>
        <v>159000</v>
      </c>
      <c r="S35" s="116"/>
      <c r="T35" s="116"/>
      <c r="U35" s="116">
        <f t="shared" si="0"/>
        <v>159000</v>
      </c>
      <c r="V35" s="117"/>
      <c r="W35" s="117"/>
      <c r="X35" s="56"/>
    </row>
    <row r="36" spans="3:24" x14ac:dyDescent="0.25">
      <c r="C36" s="38"/>
      <c r="D36" s="32"/>
      <c r="E36" s="32"/>
      <c r="F36" s="50"/>
      <c r="G36" s="88" t="str">
        <f t="shared" si="1"/>
        <v/>
      </c>
      <c r="H36" s="128"/>
      <c r="I36" s="129"/>
      <c r="J36" s="130"/>
      <c r="K36" s="127" t="str">
        <f>IFERROR(VLOOKUP($H36,'Product Database'!A:G, 2,FALSE),"")</f>
        <v/>
      </c>
      <c r="L36" s="127"/>
      <c r="M36" s="127"/>
      <c r="N36" s="117" t="str">
        <f>IFERROR(VLOOKUP($H36,'Product Database'!A:G, 4,FALSE),"")</f>
        <v/>
      </c>
      <c r="O36" s="117"/>
      <c r="P36" s="120"/>
      <c r="Q36" s="121"/>
      <c r="R36" s="122" t="str">
        <f>IFERROR(VLOOKUP($H36, 'Product Database'!A:G, 6, FALSE), "")</f>
        <v/>
      </c>
      <c r="S36" s="116"/>
      <c r="T36" s="116"/>
      <c r="U36" s="116" t="str">
        <f t="shared" si="0"/>
        <v/>
      </c>
      <c r="V36" s="117"/>
      <c r="W36" s="117"/>
      <c r="X36" s="56"/>
    </row>
    <row r="37" spans="3:24" x14ac:dyDescent="0.25">
      <c r="C37" s="38"/>
      <c r="D37" s="32"/>
      <c r="E37" s="32"/>
      <c r="F37" s="50"/>
      <c r="G37" s="88" t="str">
        <f t="shared" si="1"/>
        <v/>
      </c>
      <c r="H37" s="128"/>
      <c r="I37" s="129"/>
      <c r="J37" s="130"/>
      <c r="K37" s="127" t="str">
        <f>IFERROR(VLOOKUP($H37,'Product Database'!A:G, 2,FALSE),"")</f>
        <v/>
      </c>
      <c r="L37" s="127"/>
      <c r="M37" s="127"/>
      <c r="N37" s="117" t="str">
        <f>IFERROR(VLOOKUP($H37,'Product Database'!A:G, 4,FALSE),"")</f>
        <v/>
      </c>
      <c r="O37" s="117"/>
      <c r="P37" s="120"/>
      <c r="Q37" s="121"/>
      <c r="R37" s="116" t="str">
        <f>IFERROR(VLOOKUP($H37, 'Product Database'!A:G, 6, FALSE), "")</f>
        <v/>
      </c>
      <c r="S37" s="116"/>
      <c r="T37" s="116"/>
      <c r="U37" s="116" t="str">
        <f t="shared" si="0"/>
        <v/>
      </c>
      <c r="V37" s="117"/>
      <c r="W37" s="117"/>
      <c r="X37" s="56"/>
    </row>
    <row r="38" spans="3:24" x14ac:dyDescent="0.25">
      <c r="C38" s="38"/>
      <c r="D38" s="32"/>
      <c r="E38" s="32"/>
      <c r="F38" s="50"/>
      <c r="G38" s="88" t="str">
        <f t="shared" si="1"/>
        <v/>
      </c>
      <c r="H38" s="128"/>
      <c r="I38" s="129"/>
      <c r="J38" s="130"/>
      <c r="K38" s="127" t="str">
        <f>IFERROR(VLOOKUP($H38,'Product Database'!A:G, 2,FALSE),"")</f>
        <v/>
      </c>
      <c r="L38" s="127"/>
      <c r="M38" s="127"/>
      <c r="N38" s="117" t="str">
        <f>IFERROR(VLOOKUP($H38,'Product Database'!A:G, 4,FALSE),"")</f>
        <v/>
      </c>
      <c r="O38" s="117"/>
      <c r="P38" s="120"/>
      <c r="Q38" s="121"/>
      <c r="R38" s="116" t="str">
        <f>IFERROR(VLOOKUP($H38, 'Product Database'!A:G, 6, FALSE), "")</f>
        <v/>
      </c>
      <c r="S38" s="116"/>
      <c r="T38" s="116"/>
      <c r="U38" s="116" t="str">
        <f t="shared" si="0"/>
        <v/>
      </c>
      <c r="V38" s="117"/>
      <c r="W38" s="117"/>
      <c r="X38" s="56"/>
    </row>
    <row r="39" spans="3:24" x14ac:dyDescent="0.25">
      <c r="C39" s="38"/>
      <c r="D39" s="32"/>
      <c r="E39" s="32"/>
      <c r="F39" s="50"/>
      <c r="G39" s="93" t="str">
        <f t="shared" si="1"/>
        <v/>
      </c>
      <c r="H39" s="128"/>
      <c r="I39" s="129"/>
      <c r="J39" s="130"/>
      <c r="K39" s="127" t="str">
        <f>IFERROR(VLOOKUP($H39,'Product Database'!A:G, 2,FALSE),"")</f>
        <v/>
      </c>
      <c r="L39" s="127"/>
      <c r="M39" s="127"/>
      <c r="N39" s="117" t="str">
        <f>IFERROR(VLOOKUP($H39,'Product Database'!A:G, 4,FALSE),"")</f>
        <v/>
      </c>
      <c r="O39" s="117"/>
      <c r="P39" s="120"/>
      <c r="Q39" s="121"/>
      <c r="R39" s="116" t="str">
        <f>IFERROR(VLOOKUP($H39, 'Product Database'!A:G, 6, FALSE), "")</f>
        <v/>
      </c>
      <c r="S39" s="116"/>
      <c r="T39" s="116"/>
      <c r="U39" s="116" t="str">
        <f t="shared" si="0"/>
        <v/>
      </c>
      <c r="V39" s="117"/>
      <c r="W39" s="117"/>
      <c r="X39" s="56"/>
    </row>
    <row r="40" spans="3:24" x14ac:dyDescent="0.25">
      <c r="C40" s="38"/>
      <c r="D40" s="32"/>
      <c r="E40" s="32"/>
      <c r="F40" s="50"/>
      <c r="G40" s="93" t="str">
        <f t="shared" si="1"/>
        <v/>
      </c>
      <c r="H40" s="128"/>
      <c r="I40" s="129"/>
      <c r="J40" s="130"/>
      <c r="K40" s="127" t="str">
        <f>IFERROR(VLOOKUP($H40,'Product Database'!A:G, 2,FALSE),"")</f>
        <v/>
      </c>
      <c r="L40" s="127"/>
      <c r="M40" s="127"/>
      <c r="N40" s="117" t="str">
        <f>IFERROR(VLOOKUP($H40,'Product Database'!A:G, 4,FALSE),"")</f>
        <v/>
      </c>
      <c r="O40" s="117"/>
      <c r="P40" s="120"/>
      <c r="Q40" s="121"/>
      <c r="R40" s="116" t="str">
        <f>IFERROR(VLOOKUP($H40, 'Product Database'!A:G, 6, FALSE), "")</f>
        <v/>
      </c>
      <c r="S40" s="116"/>
      <c r="T40" s="116"/>
      <c r="U40" s="116" t="str">
        <f t="shared" si="0"/>
        <v/>
      </c>
      <c r="V40" s="117"/>
      <c r="W40" s="117"/>
      <c r="X40" s="56"/>
    </row>
    <row r="41" spans="3:24" x14ac:dyDescent="0.25">
      <c r="C41" s="38"/>
      <c r="D41" s="32"/>
      <c r="E41" s="32"/>
      <c r="F41" s="50"/>
      <c r="G41" s="93" t="str">
        <f t="shared" si="1"/>
        <v/>
      </c>
      <c r="H41" s="128"/>
      <c r="I41" s="129"/>
      <c r="J41" s="130"/>
      <c r="K41" s="127" t="str">
        <f>IFERROR(VLOOKUP($H41,'Product Database'!A:G, 2,FALSE),"")</f>
        <v/>
      </c>
      <c r="L41" s="127"/>
      <c r="M41" s="127"/>
      <c r="N41" s="117" t="str">
        <f>IFERROR(VLOOKUP($H41,'Product Database'!A:G, 4,FALSE),"")</f>
        <v/>
      </c>
      <c r="O41" s="117"/>
      <c r="P41" s="120"/>
      <c r="Q41" s="121"/>
      <c r="R41" s="116" t="str">
        <f>IFERROR(VLOOKUP($H41, 'Product Database'!A:G, 6, FALSE), "")</f>
        <v/>
      </c>
      <c r="S41" s="116"/>
      <c r="T41" s="116"/>
      <c r="U41" s="116" t="str">
        <f t="shared" si="0"/>
        <v/>
      </c>
      <c r="V41" s="117"/>
      <c r="W41" s="117"/>
      <c r="X41" s="56"/>
    </row>
    <row r="42" spans="3:24" x14ac:dyDescent="0.25">
      <c r="C42" s="38"/>
      <c r="F42" s="50"/>
      <c r="G42" s="93" t="str">
        <f t="shared" si="1"/>
        <v/>
      </c>
      <c r="H42" s="128"/>
      <c r="I42" s="129"/>
      <c r="J42" s="130"/>
      <c r="K42" s="127" t="str">
        <f>IFERROR(VLOOKUP($H42,'Product Database'!A:G, 2,FALSE),"")</f>
        <v/>
      </c>
      <c r="L42" s="127"/>
      <c r="M42" s="127"/>
      <c r="N42" s="117" t="str">
        <f>IFERROR(VLOOKUP($H42,'Product Database'!A:G, 4,FALSE),"")</f>
        <v/>
      </c>
      <c r="O42" s="117"/>
      <c r="P42" s="120"/>
      <c r="Q42" s="121"/>
      <c r="R42" s="116" t="str">
        <f>IFERROR(VLOOKUP($H42, 'Product Database'!A:G, 6, FALSE), "")</f>
        <v/>
      </c>
      <c r="S42" s="116"/>
      <c r="T42" s="116"/>
      <c r="U42" s="116" t="str">
        <f t="shared" si="0"/>
        <v/>
      </c>
      <c r="V42" s="117"/>
      <c r="W42" s="117"/>
      <c r="X42" s="56"/>
    </row>
    <row r="43" spans="3:24" x14ac:dyDescent="0.25">
      <c r="C43" s="38"/>
      <c r="F43" s="91"/>
      <c r="G43" s="93" t="str">
        <f t="shared" si="1"/>
        <v/>
      </c>
      <c r="H43" s="128"/>
      <c r="I43" s="129"/>
      <c r="J43" s="130"/>
      <c r="K43" s="127" t="str">
        <f>IFERROR(VLOOKUP($H43,'Product Database'!A:G, 2,FALSE),"")</f>
        <v/>
      </c>
      <c r="L43" s="127"/>
      <c r="M43" s="127"/>
      <c r="N43" s="117" t="str">
        <f>IFERROR(VLOOKUP($H43,'Product Database'!A:G, 4,FALSE),"")</f>
        <v/>
      </c>
      <c r="O43" s="117"/>
      <c r="P43" s="89"/>
      <c r="Q43" s="90"/>
      <c r="R43" s="116" t="str">
        <f>IFERROR(VLOOKUP($H43, 'Product Database'!A:G, 6, FALSE), "")</f>
        <v/>
      </c>
      <c r="S43" s="116"/>
      <c r="T43" s="116"/>
      <c r="U43" s="116" t="str">
        <f t="shared" si="0"/>
        <v/>
      </c>
      <c r="V43" s="117"/>
      <c r="W43" s="117"/>
      <c r="X43" s="56"/>
    </row>
    <row r="44" spans="3:24" x14ac:dyDescent="0.25">
      <c r="C44" s="38"/>
      <c r="F44" s="91"/>
      <c r="G44" s="93" t="str">
        <f t="shared" si="1"/>
        <v/>
      </c>
      <c r="H44" s="128"/>
      <c r="I44" s="129"/>
      <c r="J44" s="130"/>
      <c r="K44" s="127" t="str">
        <f>IFERROR(VLOOKUP($H44,'Product Database'!A:G, 2,FALSE),"")</f>
        <v/>
      </c>
      <c r="L44" s="127"/>
      <c r="M44" s="127"/>
      <c r="N44" s="117" t="str">
        <f>IFERROR(VLOOKUP($H44,'Product Database'!A:G, 4,FALSE),"")</f>
        <v/>
      </c>
      <c r="O44" s="117"/>
      <c r="P44" s="89"/>
      <c r="Q44" s="90"/>
      <c r="R44" s="116" t="str">
        <f>IFERROR(VLOOKUP($H44, 'Product Database'!A:G, 6, FALSE), "")</f>
        <v/>
      </c>
      <c r="S44" s="116"/>
      <c r="T44" s="116"/>
      <c r="U44" s="116" t="str">
        <f t="shared" si="0"/>
        <v/>
      </c>
      <c r="V44" s="117"/>
      <c r="W44" s="117"/>
      <c r="X44" s="56"/>
    </row>
    <row r="45" spans="3:24" x14ac:dyDescent="0.25">
      <c r="C45" s="38"/>
      <c r="F45" s="91"/>
      <c r="G45" s="93" t="str">
        <f t="shared" si="1"/>
        <v/>
      </c>
      <c r="H45" s="128"/>
      <c r="I45" s="129"/>
      <c r="J45" s="130"/>
      <c r="K45" s="127" t="str">
        <f>IFERROR(VLOOKUP($H45,'Product Database'!A:G, 2,FALSE),"")</f>
        <v/>
      </c>
      <c r="L45" s="127"/>
      <c r="M45" s="127"/>
      <c r="N45" s="117" t="str">
        <f>IFERROR(VLOOKUP($H45,'Product Database'!A:G, 4,FALSE),"")</f>
        <v/>
      </c>
      <c r="O45" s="117"/>
      <c r="P45" s="89"/>
      <c r="Q45" s="90"/>
      <c r="R45" s="116" t="str">
        <f>IFERROR(VLOOKUP($H45, 'Product Database'!A:G, 6, FALSE), "")</f>
        <v/>
      </c>
      <c r="S45" s="116"/>
      <c r="T45" s="116"/>
      <c r="U45" s="116" t="str">
        <f t="shared" si="0"/>
        <v/>
      </c>
      <c r="V45" s="117"/>
      <c r="W45" s="117"/>
      <c r="X45" s="56"/>
    </row>
    <row r="46" spans="3:24" x14ac:dyDescent="0.25">
      <c r="C46" s="38"/>
      <c r="F46" s="50"/>
      <c r="G46" s="93" t="str">
        <f t="shared" si="1"/>
        <v/>
      </c>
      <c r="H46" s="128"/>
      <c r="I46" s="129"/>
      <c r="J46" s="130"/>
      <c r="K46" s="127" t="str">
        <f>IFERROR(VLOOKUP($H46,'Product Database'!A:G, 2,FALSE),"")</f>
        <v/>
      </c>
      <c r="L46" s="127"/>
      <c r="M46" s="127"/>
      <c r="N46" s="117" t="str">
        <f>IFERROR(VLOOKUP($H46,'Product Database'!A:G, 4,FALSE),"")</f>
        <v/>
      </c>
      <c r="O46" s="117"/>
      <c r="P46" s="120"/>
      <c r="Q46" s="121"/>
      <c r="R46" s="116" t="str">
        <f>IFERROR(VLOOKUP($H46, 'Product Database'!A:G, 6, FALSE), "")</f>
        <v/>
      </c>
      <c r="S46" s="116"/>
      <c r="T46" s="116"/>
      <c r="U46" s="116" t="str">
        <f t="shared" si="0"/>
        <v/>
      </c>
      <c r="V46" s="117"/>
      <c r="W46" s="117"/>
      <c r="X46" s="56"/>
    </row>
    <row r="47" spans="3:24" x14ac:dyDescent="0.25">
      <c r="C47" s="38"/>
      <c r="F47" s="50"/>
      <c r="G47" s="93" t="str">
        <f t="shared" si="1"/>
        <v/>
      </c>
      <c r="H47" s="123"/>
      <c r="I47" s="124"/>
      <c r="J47" s="125"/>
      <c r="K47" s="127" t="str">
        <f>IFERROR(VLOOKUP($H47,'Product Database'!A:G, 2,FALSE),"")</f>
        <v/>
      </c>
      <c r="L47" s="127"/>
      <c r="M47" s="127"/>
      <c r="N47" s="117" t="str">
        <f>IFERROR(VLOOKUP($H47,'Product Database'!A:G, 4,FALSE),"")</f>
        <v/>
      </c>
      <c r="O47" s="117"/>
      <c r="P47" s="120"/>
      <c r="Q47" s="121"/>
      <c r="R47" s="116" t="str">
        <f>IFERROR(VLOOKUP($H47, 'Product Database'!A:G, 6, FALSE), "")</f>
        <v/>
      </c>
      <c r="S47" s="116"/>
      <c r="T47" s="116"/>
      <c r="U47" s="116" t="str">
        <f t="shared" si="0"/>
        <v/>
      </c>
      <c r="V47" s="117"/>
      <c r="W47" s="117"/>
      <c r="X47" s="56"/>
    </row>
    <row r="48" spans="3:24" x14ac:dyDescent="0.25">
      <c r="F48" s="52"/>
      <c r="G48" s="65" t="str">
        <f t="shared" ref="G48" si="2">IF(H48&lt;&gt;"",G47+1,"")</f>
        <v/>
      </c>
      <c r="H48" s="126"/>
      <c r="I48" s="126"/>
      <c r="J48" s="126"/>
      <c r="K48" s="131" t="str">
        <f>IFERROR(VLOOKUP($H48,'Product Database'!A:G,2,FALSE),"")</f>
        <v/>
      </c>
      <c r="L48" s="131"/>
      <c r="M48" s="131"/>
      <c r="N48" s="119" t="str">
        <f>IFERROR(VLOOKUP($H48,'Product Database'!A:G,4,FALSE),"")</f>
        <v/>
      </c>
      <c r="O48" s="119"/>
      <c r="P48" s="119"/>
      <c r="Q48" s="119"/>
      <c r="R48" s="118" t="str">
        <f>IFERROR(VLOOKUP($H48,'Product Database'!A:G,6,FALSE),"")</f>
        <v/>
      </c>
      <c r="S48" s="118"/>
      <c r="T48" s="118"/>
      <c r="U48" s="118" t="str">
        <f t="shared" ref="U48" si="3">IFERROR(P48*R48,"")</f>
        <v/>
      </c>
      <c r="V48" s="119"/>
      <c r="W48" s="119"/>
      <c r="X48" s="64"/>
    </row>
    <row r="49" spans="6:24" x14ac:dyDescent="0.25"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69"/>
      <c r="R49" s="41"/>
      <c r="S49" s="41"/>
      <c r="T49" s="41"/>
      <c r="U49" s="41"/>
      <c r="V49" s="41"/>
      <c r="W49" s="41"/>
      <c r="X49" s="41"/>
    </row>
    <row r="50" spans="6:24" x14ac:dyDescent="0.25"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73"/>
      <c r="R50" s="49"/>
      <c r="S50" s="49"/>
      <c r="T50" s="49"/>
      <c r="U50" s="49"/>
      <c r="V50" s="49"/>
      <c r="W50" s="49"/>
      <c r="X50" s="49"/>
    </row>
    <row r="51" spans="6:24" x14ac:dyDescent="0.25"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73"/>
      <c r="R51" s="50"/>
      <c r="S51" s="50"/>
      <c r="T51" s="50" t="s">
        <v>8</v>
      </c>
      <c r="U51" s="107">
        <f>SUM(U33:W48)</f>
        <v>477000</v>
      </c>
      <c r="V51" s="108"/>
      <c r="W51" s="108"/>
      <c r="X51" s="50"/>
    </row>
    <row r="52" spans="6:24" x14ac:dyDescent="0.25"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73"/>
      <c r="R52" s="50"/>
      <c r="S52" s="50"/>
      <c r="T52" s="50" t="s">
        <v>40</v>
      </c>
      <c r="U52" s="107">
        <f>U51*(11/12)</f>
        <v>437250</v>
      </c>
      <c r="V52" s="108"/>
      <c r="W52" s="108"/>
      <c r="X52" s="50"/>
    </row>
    <row r="53" spans="6:24" x14ac:dyDescent="0.25"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73"/>
      <c r="R53" s="50"/>
      <c r="S53" s="50"/>
      <c r="T53" s="50" t="s">
        <v>273</v>
      </c>
      <c r="U53" s="107">
        <f>U52*12%</f>
        <v>52470</v>
      </c>
      <c r="V53" s="108"/>
      <c r="W53" s="108"/>
      <c r="X53" s="50"/>
    </row>
    <row r="54" spans="6:24" x14ac:dyDescent="0.25"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73"/>
      <c r="R54" s="50"/>
      <c r="S54" s="50"/>
      <c r="T54" s="66" t="s">
        <v>107</v>
      </c>
      <c r="U54" s="109">
        <f>U51+U53</f>
        <v>529470</v>
      </c>
      <c r="V54" s="110"/>
      <c r="W54" s="110"/>
      <c r="X54" s="50"/>
    </row>
    <row r="55" spans="6:24" x14ac:dyDescent="0.25"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73"/>
      <c r="R55" s="52"/>
      <c r="S55" s="52"/>
      <c r="T55" s="52"/>
      <c r="U55" s="52"/>
      <c r="V55" s="52"/>
      <c r="W55" s="52"/>
      <c r="X55" s="52"/>
    </row>
    <row r="56" spans="6:24" x14ac:dyDescent="0.25">
      <c r="Q56" s="75"/>
      <c r="R56" s="32"/>
      <c r="S56" s="32"/>
      <c r="T56" s="32"/>
      <c r="U56" s="32"/>
      <c r="V56" s="32"/>
      <c r="W56" s="32"/>
      <c r="X56" s="32"/>
    </row>
    <row r="57" spans="6:24" x14ac:dyDescent="0.25">
      <c r="Q57" s="75"/>
      <c r="R57" s="32"/>
      <c r="S57" s="32"/>
      <c r="T57" s="32"/>
      <c r="U57" s="32"/>
      <c r="V57" s="32"/>
      <c r="W57" s="32"/>
      <c r="X57" s="32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Database'!$K$3:$K$1048576</xm:f>
          </x14:formula1>
          <xm:sqref>J6:L6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zoomScaleNormal="100" workbookViewId="0">
      <selection activeCell="F10" sqref="F10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 x14ac:dyDescent="0.25">
      <c r="A2" s="155" t="s">
        <v>12</v>
      </c>
      <c r="B2" s="155"/>
      <c r="C2" s="155"/>
      <c r="D2" s="155"/>
      <c r="E2" s="155"/>
      <c r="F2" s="2"/>
      <c r="G2" s="156" t="s">
        <v>0</v>
      </c>
      <c r="H2" s="156"/>
      <c r="I2" s="156"/>
      <c r="J2" s="156"/>
      <c r="K2" s="156"/>
      <c r="L2" s="3"/>
      <c r="M2" s="3"/>
      <c r="N2" s="3"/>
      <c r="O2" s="3"/>
    </row>
    <row r="3" spans="1:16" ht="3.75" customHeight="1" x14ac:dyDescent="0.25">
      <c r="A3" s="20"/>
      <c r="B3" s="20"/>
      <c r="C3" s="20"/>
      <c r="D3" s="20"/>
      <c r="E3" s="20"/>
      <c r="F3" s="2"/>
      <c r="G3" s="156"/>
      <c r="H3" s="156"/>
      <c r="I3" s="156"/>
      <c r="J3" s="156"/>
      <c r="K3" s="156"/>
      <c r="L3" s="3"/>
      <c r="M3" s="3"/>
      <c r="N3" s="3"/>
      <c r="O3" s="3"/>
    </row>
    <row r="4" spans="1:16" ht="9.75" customHeight="1" x14ac:dyDescent="0.25">
      <c r="A4" s="157" t="s">
        <v>18</v>
      </c>
      <c r="B4" s="157"/>
      <c r="C4" s="157"/>
      <c r="D4" s="157"/>
      <c r="E4" s="157"/>
      <c r="F4" s="2"/>
      <c r="G4" s="156"/>
      <c r="H4" s="156"/>
      <c r="I4" s="156"/>
      <c r="J4" s="156"/>
      <c r="K4" s="156"/>
      <c r="L4" s="3"/>
      <c r="M4" s="3"/>
      <c r="N4" s="3"/>
      <c r="O4" s="3"/>
    </row>
    <row r="5" spans="1:16" ht="17.25" customHeight="1" x14ac:dyDescent="0.25">
      <c r="A5" s="157"/>
      <c r="B5" s="157"/>
      <c r="C5" s="157"/>
      <c r="D5" s="157"/>
      <c r="E5" s="157"/>
      <c r="F5" s="2"/>
      <c r="G5" s="156"/>
      <c r="H5" s="156"/>
      <c r="I5" s="156"/>
      <c r="J5" s="156"/>
      <c r="K5" s="156"/>
      <c r="L5" s="3"/>
      <c r="M5" s="3"/>
      <c r="N5" s="3"/>
      <c r="O5" s="3"/>
    </row>
    <row r="6" spans="1:16" ht="15" customHeight="1" x14ac:dyDescent="0.25">
      <c r="A6" s="159" t="s">
        <v>19</v>
      </c>
      <c r="B6" s="159"/>
      <c r="C6" s="159"/>
      <c r="D6" s="159"/>
      <c r="E6" s="159"/>
      <c r="F6" s="5"/>
      <c r="G6" s="6"/>
      <c r="H6" s="97"/>
      <c r="I6" s="6"/>
      <c r="J6" s="6"/>
    </row>
    <row r="7" spans="1:16" ht="15" customHeight="1" x14ac:dyDescent="0.25">
      <c r="A7" s="8" t="s">
        <v>20</v>
      </c>
      <c r="B7" s="8"/>
      <c r="C7" s="8"/>
      <c r="D7" s="8"/>
      <c r="E7" s="9"/>
      <c r="F7" s="6"/>
      <c r="I7" s="19" t="s">
        <v>54</v>
      </c>
      <c r="J7" s="101">
        <v>11</v>
      </c>
      <c r="K7" s="103"/>
    </row>
    <row r="8" spans="1:16" x14ac:dyDescent="0.25">
      <c r="A8" s="8"/>
      <c r="B8" s="8"/>
      <c r="C8" s="8"/>
      <c r="D8" s="8"/>
      <c r="E8" s="9"/>
      <c r="F8" s="7"/>
      <c r="I8" s="19" t="s">
        <v>284</v>
      </c>
      <c r="J8" s="101">
        <v>12</v>
      </c>
      <c r="K8" s="103"/>
    </row>
    <row r="9" spans="1:16" ht="15" customHeight="1" x14ac:dyDescent="0.25">
      <c r="F9" s="6"/>
      <c r="G9" s="6"/>
      <c r="H9" s="97"/>
      <c r="I9" s="105" t="s">
        <v>56</v>
      </c>
      <c r="J9" s="102">
        <v>46263</v>
      </c>
      <c r="K9" s="104"/>
    </row>
    <row r="10" spans="1:16" s="9" customFormat="1" x14ac:dyDescent="0.25">
      <c r="F10" s="3"/>
      <c r="G10" s="3"/>
      <c r="H10" s="99"/>
      <c r="I10" s="19" t="s">
        <v>57</v>
      </c>
      <c r="J10" s="101">
        <v>60</v>
      </c>
      <c r="K10" s="103"/>
      <c r="P10" s="4"/>
    </row>
    <row r="11" spans="1:16" ht="15" customHeight="1" x14ac:dyDescent="0.25">
      <c r="B11" s="158" t="s">
        <v>2</v>
      </c>
      <c r="C11" s="158"/>
      <c r="E11" s="10"/>
      <c r="F11" s="10"/>
      <c r="G11" s="6"/>
      <c r="H11" s="97"/>
    </row>
    <row r="12" spans="1:16" ht="15" customHeight="1" x14ac:dyDescent="0.25">
      <c r="B12" s="157" t="s">
        <v>17</v>
      </c>
      <c r="C12" s="157"/>
      <c r="D12" s="11" t="s">
        <v>13</v>
      </c>
      <c r="E12" s="6" t="s">
        <v>215</v>
      </c>
      <c r="F12" s="6"/>
      <c r="G12" s="6"/>
      <c r="H12" s="97"/>
    </row>
    <row r="13" spans="1:16" ht="15" customHeight="1" x14ac:dyDescent="0.25">
      <c r="B13" s="157" t="s">
        <v>14</v>
      </c>
      <c r="C13" s="157"/>
      <c r="D13" s="11" t="s">
        <v>13</v>
      </c>
      <c r="E13" s="164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Ruko Panakkukang Square No. 18, Jl. Boulevard, Kel. Masale, Kec. Panakkukang, Makassar, Sulawesi Selatan, 90231, Indonesia</v>
      </c>
      <c r="F13" s="164"/>
      <c r="G13" s="164"/>
      <c r="H13" s="164"/>
      <c r="I13" s="164"/>
      <c r="J13" s="164"/>
    </row>
    <row r="14" spans="1:16" ht="15" customHeight="1" x14ac:dyDescent="0.25">
      <c r="B14" s="6"/>
      <c r="C14" s="6"/>
      <c r="D14" s="11"/>
      <c r="E14" s="164"/>
      <c r="F14" s="164"/>
      <c r="G14" s="164"/>
      <c r="H14" s="164"/>
      <c r="I14" s="164"/>
      <c r="J14" s="164"/>
    </row>
    <row r="15" spans="1:16" ht="15" customHeight="1" x14ac:dyDescent="0.25">
      <c r="B15" s="6"/>
      <c r="C15" s="6"/>
      <c r="D15" s="11"/>
      <c r="E15" s="164"/>
      <c r="F15" s="164"/>
      <c r="G15" s="164"/>
      <c r="H15" s="164"/>
      <c r="I15" s="164"/>
      <c r="J15" s="164"/>
    </row>
    <row r="16" spans="1:16" ht="15" customHeight="1" x14ac:dyDescent="0.25">
      <c r="B16" s="157" t="s">
        <v>15</v>
      </c>
      <c r="C16" s="157"/>
      <c r="D16" s="11" t="s">
        <v>13</v>
      </c>
      <c r="E16" s="22">
        <f>IFERROR(VLOOKUP($E$12,'Customer Database'!A:H,7,FALSE),"")</f>
        <v>81234567017</v>
      </c>
      <c r="F16" s="6"/>
      <c r="G16" s="6"/>
      <c r="H16" s="97"/>
    </row>
    <row r="17" spans="1:32" ht="15" customHeight="1" x14ac:dyDescent="0.25">
      <c r="B17" s="4" t="s">
        <v>16</v>
      </c>
      <c r="D17" s="11" t="s">
        <v>13</v>
      </c>
      <c r="E17" s="100" t="str">
        <f>IFERROR(VLOOKUP($E$12,'Customer Database'!A:H,8,FALSE),"")</f>
        <v>finance@makassarretail.co.id</v>
      </c>
      <c r="F17" s="6"/>
      <c r="G17" s="6"/>
      <c r="H17" s="97"/>
    </row>
    <row r="18" spans="1:32" ht="9" customHeight="1" x14ac:dyDescent="0.25">
      <c r="B18" s="6"/>
      <c r="C18" s="6"/>
      <c r="D18" s="11"/>
      <c r="E18" s="6"/>
      <c r="F18" s="6"/>
      <c r="G18" s="6"/>
      <c r="H18" s="97"/>
    </row>
    <row r="19" spans="1:32" x14ac:dyDescent="0.25">
      <c r="A19" s="6"/>
      <c r="B19" s="6"/>
      <c r="C19" s="6"/>
      <c r="D19" s="6"/>
      <c r="E19" s="6"/>
      <c r="F19" s="6"/>
      <c r="G19" s="6"/>
      <c r="H19" s="97"/>
      <c r="I19" s="6"/>
      <c r="J19" s="6"/>
      <c r="K19" s="6"/>
    </row>
    <row r="20" spans="1:32" ht="15" customHeight="1" x14ac:dyDescent="0.25">
      <c r="A20" s="149" t="s">
        <v>3</v>
      </c>
      <c r="B20" s="150"/>
      <c r="C20" s="92" t="s">
        <v>65</v>
      </c>
      <c r="D20" s="161" t="s">
        <v>4</v>
      </c>
      <c r="E20" s="161"/>
      <c r="F20" s="161"/>
      <c r="G20" s="12" t="s">
        <v>5</v>
      </c>
      <c r="H20" s="149" t="s">
        <v>106</v>
      </c>
      <c r="I20" s="150"/>
      <c r="J20" s="149" t="s">
        <v>6</v>
      </c>
      <c r="K20" s="150"/>
    </row>
    <row r="21" spans="1:32" ht="15" customHeight="1" x14ac:dyDescent="0.25">
      <c r="A21" s="147">
        <v>1</v>
      </c>
      <c r="B21" s="148"/>
      <c r="C21" s="95" t="s">
        <v>78</v>
      </c>
      <c r="D21" s="154" t="s">
        <v>79</v>
      </c>
      <c r="E21" s="154"/>
      <c r="F21" s="154"/>
      <c r="G21" s="96">
        <v>1</v>
      </c>
      <c r="H21" s="151">
        <v>189000</v>
      </c>
      <c r="I21" s="152"/>
      <c r="J21" s="151">
        <v>189000</v>
      </c>
      <c r="K21" s="152"/>
    </row>
    <row r="22" spans="1:32" ht="15" customHeight="1" x14ac:dyDescent="0.25">
      <c r="A22" s="147">
        <f>IF(C22&lt;&gt;"",A21+1,"")</f>
        <v>2</v>
      </c>
      <c r="B22" s="148"/>
      <c r="C22" s="95" t="s">
        <v>82</v>
      </c>
      <c r="D22" s="154" t="s">
        <v>83</v>
      </c>
      <c r="E22" s="154"/>
      <c r="F22" s="154"/>
      <c r="G22" s="96">
        <v>1</v>
      </c>
      <c r="H22" s="151">
        <v>129000</v>
      </c>
      <c r="I22" s="152"/>
      <c r="J22" s="151">
        <v>129000</v>
      </c>
      <c r="K22" s="152"/>
    </row>
    <row r="23" spans="1:32" ht="15" customHeight="1" x14ac:dyDescent="0.25">
      <c r="A23" s="147">
        <f t="shared" ref="A23:A35" si="0">IF(C23&lt;&gt;"",A22+1,"")</f>
        <v>3</v>
      </c>
      <c r="B23" s="148"/>
      <c r="C23" s="95" t="s">
        <v>84</v>
      </c>
      <c r="D23" s="154" t="s">
        <v>85</v>
      </c>
      <c r="E23" s="154"/>
      <c r="F23" s="154"/>
      <c r="G23" s="96">
        <v>1</v>
      </c>
      <c r="H23" s="151">
        <v>159000</v>
      </c>
      <c r="I23" s="152"/>
      <c r="J23" s="151">
        <v>159000</v>
      </c>
      <c r="K23" s="15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 x14ac:dyDescent="0.25">
      <c r="A24" s="147" t="str">
        <f t="shared" si="0"/>
        <v/>
      </c>
      <c r="B24" s="148"/>
      <c r="C24" s="95"/>
      <c r="D24" s="154"/>
      <c r="E24" s="154"/>
      <c r="F24" s="154"/>
      <c r="G24" s="96"/>
      <c r="H24" s="151"/>
      <c r="I24" s="152"/>
      <c r="J24" s="151"/>
      <c r="K24" s="15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47" t="str">
        <f t="shared" si="0"/>
        <v/>
      </c>
      <c r="B25" s="148"/>
      <c r="C25" s="95"/>
      <c r="D25" s="154"/>
      <c r="E25" s="154"/>
      <c r="F25" s="154"/>
      <c r="G25" s="96"/>
      <c r="H25" s="147"/>
      <c r="I25" s="148"/>
      <c r="J25" s="151"/>
      <c r="K25" s="152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47" t="str">
        <f t="shared" si="0"/>
        <v/>
      </c>
      <c r="B26" s="148"/>
      <c r="C26" s="95"/>
      <c r="D26" s="154"/>
      <c r="E26" s="154"/>
      <c r="F26" s="154"/>
      <c r="G26" s="96"/>
      <c r="H26" s="147"/>
      <c r="I26" s="148"/>
      <c r="J26" s="151"/>
      <c r="K26" s="152"/>
      <c r="O26" s="1"/>
      <c r="P26" s="1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</row>
    <row r="27" spans="1:32" x14ac:dyDescent="0.25">
      <c r="A27" s="147" t="str">
        <f t="shared" si="0"/>
        <v/>
      </c>
      <c r="B27" s="148"/>
      <c r="C27" s="95"/>
      <c r="D27" s="154"/>
      <c r="E27" s="154"/>
      <c r="F27" s="154"/>
      <c r="G27" s="96"/>
      <c r="H27" s="147"/>
      <c r="I27" s="148"/>
      <c r="J27" s="151"/>
      <c r="K27" s="15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47" t="str">
        <f t="shared" si="0"/>
        <v/>
      </c>
      <c r="B28" s="148"/>
      <c r="C28" s="95"/>
      <c r="D28" s="154"/>
      <c r="E28" s="154"/>
      <c r="F28" s="154"/>
      <c r="G28" s="96"/>
      <c r="H28" s="147"/>
      <c r="I28" s="148"/>
      <c r="J28" s="151"/>
      <c r="K28" s="152"/>
    </row>
    <row r="29" spans="1:32" x14ac:dyDescent="0.25">
      <c r="A29" s="147" t="str">
        <f t="shared" si="0"/>
        <v/>
      </c>
      <c r="B29" s="148"/>
      <c r="C29" s="95"/>
      <c r="D29" s="154"/>
      <c r="E29" s="154"/>
      <c r="F29" s="154"/>
      <c r="G29" s="96"/>
      <c r="H29" s="147"/>
      <c r="I29" s="148"/>
      <c r="J29" s="151"/>
      <c r="K29" s="152"/>
    </row>
    <row r="30" spans="1:32" x14ac:dyDescent="0.25">
      <c r="A30" s="147" t="str">
        <f t="shared" si="0"/>
        <v/>
      </c>
      <c r="B30" s="148"/>
      <c r="C30" s="95"/>
      <c r="D30" s="154"/>
      <c r="E30" s="154"/>
      <c r="F30" s="154"/>
      <c r="G30" s="96"/>
      <c r="H30" s="147"/>
      <c r="I30" s="148"/>
      <c r="J30" s="151"/>
      <c r="K30" s="152"/>
    </row>
    <row r="31" spans="1:32" x14ac:dyDescent="0.25">
      <c r="A31" s="147" t="str">
        <f t="shared" si="0"/>
        <v/>
      </c>
      <c r="B31" s="148"/>
      <c r="C31" s="95"/>
      <c r="D31" s="154"/>
      <c r="E31" s="154"/>
      <c r="F31" s="154"/>
      <c r="G31" s="96"/>
      <c r="H31" s="147"/>
      <c r="I31" s="148"/>
      <c r="J31" s="151"/>
      <c r="K31" s="152"/>
    </row>
    <row r="32" spans="1:32" x14ac:dyDescent="0.25">
      <c r="A32" s="147" t="str">
        <f t="shared" si="0"/>
        <v/>
      </c>
      <c r="B32" s="148"/>
      <c r="C32" s="95"/>
      <c r="D32" s="154"/>
      <c r="E32" s="154"/>
      <c r="F32" s="154"/>
      <c r="G32" s="96"/>
      <c r="H32" s="147"/>
      <c r="I32" s="148"/>
      <c r="J32" s="151"/>
      <c r="K32" s="152"/>
    </row>
    <row r="33" spans="1:11" x14ac:dyDescent="0.25">
      <c r="A33" s="147" t="str">
        <f t="shared" si="0"/>
        <v/>
      </c>
      <c r="B33" s="148"/>
      <c r="C33" s="95"/>
      <c r="D33" s="154"/>
      <c r="E33" s="154"/>
      <c r="F33" s="154"/>
      <c r="G33" s="96"/>
      <c r="H33" s="147"/>
      <c r="I33" s="148"/>
      <c r="J33" s="151"/>
      <c r="K33" s="152"/>
    </row>
    <row r="34" spans="1:11" x14ac:dyDescent="0.25">
      <c r="A34" s="147" t="str">
        <f t="shared" si="0"/>
        <v/>
      </c>
      <c r="B34" s="148"/>
      <c r="C34" s="95"/>
      <c r="D34" s="154"/>
      <c r="E34" s="154"/>
      <c r="F34" s="154"/>
      <c r="G34" s="96"/>
      <c r="H34" s="147"/>
      <c r="I34" s="148"/>
      <c r="J34" s="151"/>
      <c r="K34" s="152"/>
    </row>
    <row r="35" spans="1:11" x14ac:dyDescent="0.25">
      <c r="A35" s="147" t="str">
        <f t="shared" si="0"/>
        <v/>
      </c>
      <c r="B35" s="148"/>
      <c r="C35" s="95"/>
      <c r="D35" s="154"/>
      <c r="E35" s="154"/>
      <c r="F35" s="154"/>
      <c r="G35" s="96"/>
      <c r="H35" s="147"/>
      <c r="I35" s="148"/>
      <c r="J35" s="151"/>
      <c r="K35" s="152"/>
    </row>
    <row r="36" spans="1:11" ht="29.25" customHeight="1" x14ac:dyDescent="0.25">
      <c r="A36" s="15"/>
      <c r="B36" s="15"/>
      <c r="C36" s="13"/>
      <c r="D36" s="153"/>
      <c r="E36" s="153"/>
      <c r="F36" s="153"/>
      <c r="G36" s="13"/>
      <c r="H36" s="98"/>
      <c r="I36" s="15"/>
      <c r="J36" s="15"/>
      <c r="K36" s="15"/>
    </row>
    <row r="37" spans="1:11" x14ac:dyDescent="0.25">
      <c r="A37" s="15"/>
      <c r="B37" s="158" t="s">
        <v>10</v>
      </c>
      <c r="C37" s="158"/>
      <c r="D37" s="158"/>
      <c r="E37" s="158"/>
      <c r="F37" s="13"/>
      <c r="G37" s="13"/>
      <c r="H37" s="98"/>
      <c r="I37" s="14" t="s">
        <v>8</v>
      </c>
      <c r="J37" s="163">
        <f>IF($C$21="","",SUM(J21:K35))</f>
        <v>477000</v>
      </c>
      <c r="K37" s="163"/>
    </row>
    <row r="38" spans="1:11" x14ac:dyDescent="0.25">
      <c r="A38" s="13"/>
      <c r="B38" s="157" t="s">
        <v>21</v>
      </c>
      <c r="C38" s="157"/>
      <c r="D38" s="11" t="s">
        <v>13</v>
      </c>
      <c r="E38" s="160" t="s">
        <v>22</v>
      </c>
      <c r="F38" s="160"/>
      <c r="G38" s="13"/>
      <c r="H38" s="98"/>
      <c r="I38" s="14" t="s">
        <v>40</v>
      </c>
      <c r="J38" s="163">
        <f>IF($C$21="","",J37*(11/12))</f>
        <v>437250</v>
      </c>
      <c r="K38" s="163"/>
    </row>
    <row r="39" spans="1:11" x14ac:dyDescent="0.25">
      <c r="A39" s="13"/>
      <c r="B39" s="157" t="s">
        <v>25</v>
      </c>
      <c r="C39" s="157"/>
      <c r="D39" s="11" t="s">
        <v>13</v>
      </c>
      <c r="E39" s="13" t="s">
        <v>23</v>
      </c>
      <c r="F39" s="13"/>
      <c r="G39" s="13"/>
      <c r="H39" s="98"/>
      <c r="I39" s="14" t="s">
        <v>41</v>
      </c>
      <c r="J39" s="163">
        <f>IF($C$21="","",J38*12%)</f>
        <v>52470</v>
      </c>
      <c r="K39" s="163"/>
    </row>
    <row r="40" spans="1:11" x14ac:dyDescent="0.25">
      <c r="A40" s="13"/>
      <c r="B40" s="157" t="s">
        <v>26</v>
      </c>
      <c r="C40" s="157"/>
      <c r="D40" s="11" t="s">
        <v>13</v>
      </c>
      <c r="E40" s="16" t="s">
        <v>24</v>
      </c>
      <c r="F40" s="6"/>
      <c r="G40" s="13"/>
      <c r="H40" s="98"/>
      <c r="I40" s="17" t="s">
        <v>9</v>
      </c>
      <c r="J40" s="162">
        <f>IF($C$21="","",J37+J39)</f>
        <v>529470</v>
      </c>
      <c r="K40" s="162"/>
    </row>
    <row r="41" spans="1:11" x14ac:dyDescent="0.25">
      <c r="A41" s="13"/>
      <c r="G41" s="13"/>
      <c r="H41" s="98"/>
      <c r="K41" s="15"/>
    </row>
    <row r="42" spans="1:11" x14ac:dyDescent="0.25">
      <c r="A42" s="6"/>
      <c r="G42" s="6"/>
      <c r="H42" s="97"/>
      <c r="K42" s="15"/>
    </row>
    <row r="43" spans="1:11" ht="15.75" x14ac:dyDescent="0.25">
      <c r="A43" s="6"/>
      <c r="E43" s="10"/>
      <c r="F43" s="6"/>
      <c r="G43" s="6"/>
      <c r="H43" s="97"/>
      <c r="K43" s="18" t="s">
        <v>7</v>
      </c>
    </row>
    <row r="44" spans="1:11" ht="15" customHeight="1" x14ac:dyDescent="0.25">
      <c r="D44" s="10"/>
      <c r="F44" s="10"/>
      <c r="G44" s="6"/>
      <c r="H44" s="97"/>
      <c r="I44" s="6"/>
      <c r="J44" s="6"/>
      <c r="K44" s="6"/>
    </row>
    <row r="45" spans="1:11" ht="15" customHeight="1" x14ac:dyDescent="0.25">
      <c r="F45" s="6"/>
      <c r="G45" s="6"/>
      <c r="H45" s="97"/>
      <c r="I45" s="6"/>
      <c r="J45" s="6"/>
      <c r="K45" s="6"/>
    </row>
    <row r="46" spans="1:11" ht="15" customHeight="1" x14ac:dyDescent="0.25">
      <c r="F46" s="6"/>
      <c r="G46" s="6"/>
      <c r="H46" s="97"/>
      <c r="I46" s="6"/>
      <c r="J46" s="6"/>
      <c r="K46" s="6"/>
    </row>
    <row r="47" spans="1:11" x14ac:dyDescent="0.25">
      <c r="E47" s="6"/>
      <c r="F47" s="6"/>
      <c r="G47" s="6"/>
      <c r="H47" s="97"/>
      <c r="I47" s="6"/>
      <c r="J47" s="6"/>
      <c r="K47" s="6"/>
    </row>
  </sheetData>
  <mergeCells count="83"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D21:F21"/>
    <mergeCell ref="D22:F22"/>
    <mergeCell ref="D23:F23"/>
    <mergeCell ref="D24:F24"/>
    <mergeCell ref="D25:F25"/>
    <mergeCell ref="D33:F33"/>
    <mergeCell ref="D34:F34"/>
    <mergeCell ref="D35:F35"/>
    <mergeCell ref="D26:F26"/>
    <mergeCell ref="D27:F27"/>
    <mergeCell ref="D28:F28"/>
    <mergeCell ref="D29:F29"/>
    <mergeCell ref="D30:F30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</mergeCells>
  <printOptions horizontalCentered="1"/>
  <pageMargins left="0.39370078740157483" right="0.39370078740157483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504825</xdr:colOff>
                    <xdr:row>8</xdr:row>
                    <xdr:rowOff>104775</xdr:rowOff>
                  </from>
                  <to>
                    <xdr:col>13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504825</xdr:colOff>
                    <xdr:row>15</xdr:row>
                    <xdr:rowOff>142875</xdr:rowOff>
                  </from>
                  <to>
                    <xdr:col>13</xdr:col>
                    <xdr:colOff>9525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504825</xdr:colOff>
                    <xdr:row>19</xdr:row>
                    <xdr:rowOff>142875</xdr:rowOff>
                  </from>
                  <to>
                    <xdr:col>13</xdr:col>
                    <xdr:colOff>9525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514350</xdr:colOff>
                    <xdr:row>11</xdr:row>
                    <xdr:rowOff>171450</xdr:rowOff>
                  </from>
                  <to>
                    <xdr:col>12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485775</xdr:colOff>
                    <xdr:row>23</xdr:row>
                    <xdr:rowOff>123825</xdr:rowOff>
                  </from>
                  <to>
                    <xdr:col>12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Database'!$A$2:$A$1048576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K7"/>
  <sheetViews>
    <sheetView zoomScale="68" workbookViewId="0">
      <selection activeCell="C16" sqref="C16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customWidth="1"/>
    <col min="5" max="5" width="14.7109375" customWidth="1"/>
    <col min="6" max="6" width="16.5703125" customWidth="1"/>
    <col min="7" max="7" width="10.7109375" customWidth="1"/>
    <col min="8" max="8" width="99.85546875" bestFit="1" customWidth="1"/>
    <col min="9" max="9" width="103.140625" bestFit="1" customWidth="1"/>
    <col min="10" max="10" width="21.85546875" style="1" customWidth="1"/>
    <col min="11" max="11" width="36.28515625" bestFit="1" customWidth="1"/>
  </cols>
  <sheetData>
    <row r="1" spans="1:11" s="25" customFormat="1" ht="23.25" customHeight="1" x14ac:dyDescent="0.25">
      <c r="A1" s="25" t="s">
        <v>1</v>
      </c>
      <c r="B1" s="25" t="s">
        <v>11</v>
      </c>
      <c r="C1" s="25" t="s">
        <v>47</v>
      </c>
      <c r="D1" s="25" t="s">
        <v>6</v>
      </c>
      <c r="E1" s="25" t="s">
        <v>42</v>
      </c>
      <c r="F1" s="25" t="s">
        <v>43</v>
      </c>
      <c r="G1" s="25" t="s">
        <v>48</v>
      </c>
      <c r="H1" s="25" t="s">
        <v>44</v>
      </c>
      <c r="I1" s="25" t="s">
        <v>45</v>
      </c>
      <c r="J1" s="25" t="s">
        <v>46</v>
      </c>
      <c r="K1" s="25" t="s">
        <v>64</v>
      </c>
    </row>
    <row r="2" spans="1:11" s="25" customFormat="1" ht="23.25" customHeight="1" x14ac:dyDescent="0.25">
      <c r="A2" s="82" t="s">
        <v>275</v>
      </c>
      <c r="B2" s="82" t="s">
        <v>275</v>
      </c>
      <c r="C2" s="82" t="s">
        <v>275</v>
      </c>
      <c r="D2" s="82" t="s">
        <v>275</v>
      </c>
      <c r="E2" s="82" t="s">
        <v>275</v>
      </c>
      <c r="F2" s="82" t="s">
        <v>275</v>
      </c>
      <c r="G2" s="82" t="s">
        <v>275</v>
      </c>
      <c r="H2" s="82" t="s">
        <v>275</v>
      </c>
      <c r="I2" s="82" t="s">
        <v>275</v>
      </c>
      <c r="J2" s="82" t="s">
        <v>275</v>
      </c>
      <c r="K2" s="82" t="s">
        <v>275</v>
      </c>
    </row>
    <row r="3" spans="1:11" x14ac:dyDescent="0.25">
      <c r="A3">
        <v>8</v>
      </c>
      <c r="B3" s="1">
        <v>123</v>
      </c>
      <c r="C3" t="s">
        <v>122</v>
      </c>
      <c r="D3" s="23">
        <v>0</v>
      </c>
      <c r="E3" s="24">
        <v>46259</v>
      </c>
      <c r="F3" s="24">
        <v>46319</v>
      </c>
      <c r="G3" t="s">
        <v>53</v>
      </c>
      <c r="K3" t="s">
        <v>276</v>
      </c>
    </row>
    <row r="4" spans="1:11" x14ac:dyDescent="0.25">
      <c r="A4">
        <v>9</v>
      </c>
      <c r="B4" s="1">
        <v>0</v>
      </c>
      <c r="C4" t="s">
        <v>33</v>
      </c>
      <c r="D4" s="23">
        <v>0</v>
      </c>
      <c r="E4" s="24">
        <v>46263</v>
      </c>
      <c r="F4" s="24">
        <v>46263</v>
      </c>
      <c r="G4" t="s">
        <v>53</v>
      </c>
      <c r="K4" t="s">
        <v>285</v>
      </c>
    </row>
    <row r="5" spans="1:11" x14ac:dyDescent="0.25">
      <c r="A5">
        <v>10</v>
      </c>
      <c r="B5" s="1">
        <v>0</v>
      </c>
      <c r="C5" t="s">
        <v>264</v>
      </c>
      <c r="D5" s="23">
        <v>0</v>
      </c>
      <c r="E5" s="24">
        <v>46263</v>
      </c>
      <c r="F5" s="24">
        <v>46263</v>
      </c>
      <c r="G5" t="s">
        <v>53</v>
      </c>
      <c r="K5" t="s">
        <v>286</v>
      </c>
    </row>
    <row r="6" spans="1:11" x14ac:dyDescent="0.25">
      <c r="A6">
        <v>11</v>
      </c>
      <c r="B6" s="1">
        <v>12</v>
      </c>
      <c r="C6" t="s">
        <v>215</v>
      </c>
      <c r="D6" s="23">
        <v>0</v>
      </c>
      <c r="E6" s="24">
        <v>46263</v>
      </c>
      <c r="F6" s="24">
        <v>46323</v>
      </c>
      <c r="G6" t="s">
        <v>53</v>
      </c>
      <c r="K6" t="s">
        <v>287</v>
      </c>
    </row>
    <row r="7" spans="1:11" x14ac:dyDescent="0.25">
      <c r="A7">
        <v>12</v>
      </c>
      <c r="B7" s="1">
        <v>423</v>
      </c>
      <c r="C7" t="s">
        <v>175</v>
      </c>
      <c r="D7" s="23">
        <v>0</v>
      </c>
      <c r="E7" s="24">
        <v>46262</v>
      </c>
      <c r="F7" s="24">
        <v>46484</v>
      </c>
      <c r="G7" t="s">
        <v>53</v>
      </c>
      <c r="K7" t="s">
        <v>283</v>
      </c>
    </row>
  </sheetData>
  <conditionalFormatting sqref="A1:J1 A2:K1048576">
    <cfRule type="expression" dxfId="0" priority="1">
      <formula>IF(AND($A1&lt;&gt;"",$F1&lt;TODAY(),$G1&lt;&gt;"Paid"),TRUE,FALSE)</formula>
    </cfRule>
  </conditionalFormatting>
  <dataValidations count="1">
    <dataValidation type="list" allowBlank="1" showInputMessage="1" showErrorMessage="1" sqref="G3:G1048576" xr:uid="{8E35262E-BBF3-4DC0-AEA6-D94A50D85CE4}">
      <formula1>"Paid,Unpaid"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5"/>
  <sheetViews>
    <sheetView workbookViewId="0">
      <selection activeCell="J3" sqref="J3"/>
    </sheetView>
  </sheetViews>
  <sheetFormatPr defaultRowHeight="15" x14ac:dyDescent="0.25"/>
  <cols>
    <col min="1" max="1" width="20.42578125" style="80" customWidth="1"/>
    <col min="2" max="2" width="15.42578125" style="80" bestFit="1" customWidth="1"/>
    <col min="3" max="3" width="30.42578125" customWidth="1"/>
    <col min="4" max="4" width="9.28515625" bestFit="1" customWidth="1"/>
    <col min="6" max="6" width="14.42578125" style="87" bestFit="1" customWidth="1"/>
    <col min="7" max="7" width="17" style="87" bestFit="1" customWidth="1"/>
  </cols>
  <sheetData>
    <row r="1" spans="1:8" x14ac:dyDescent="0.25">
      <c r="A1" s="59" t="s">
        <v>274</v>
      </c>
      <c r="B1" s="59" t="s">
        <v>271</v>
      </c>
      <c r="C1" s="59" t="s">
        <v>4</v>
      </c>
      <c r="D1" s="59" t="s">
        <v>68</v>
      </c>
      <c r="E1" s="59" t="s">
        <v>5</v>
      </c>
      <c r="F1" s="84" t="s">
        <v>272</v>
      </c>
      <c r="G1" s="84" t="s">
        <v>6</v>
      </c>
      <c r="H1" s="58" t="s">
        <v>63</v>
      </c>
    </row>
    <row r="2" spans="1:8" ht="30" x14ac:dyDescent="0.25">
      <c r="A2" s="81" t="s">
        <v>277</v>
      </c>
      <c r="B2" s="81" t="s">
        <v>104</v>
      </c>
      <c r="C2" s="81" t="s">
        <v>105</v>
      </c>
      <c r="D2" s="81" t="s">
        <v>81</v>
      </c>
      <c r="E2" s="81">
        <v>99</v>
      </c>
      <c r="F2" s="85">
        <v>139000</v>
      </c>
      <c r="G2" s="85">
        <v>13761000</v>
      </c>
      <c r="H2" s="81"/>
    </row>
    <row r="3" spans="1:8" ht="30" x14ac:dyDescent="0.25">
      <c r="A3" s="81" t="s">
        <v>278</v>
      </c>
      <c r="B3" s="81" t="s">
        <v>101</v>
      </c>
      <c r="C3" s="81" t="s">
        <v>102</v>
      </c>
      <c r="D3" s="81" t="s">
        <v>75</v>
      </c>
      <c r="E3" s="81">
        <v>88</v>
      </c>
      <c r="F3" s="85">
        <v>99000</v>
      </c>
      <c r="G3" s="85">
        <v>8712000</v>
      </c>
      <c r="H3" s="81"/>
    </row>
    <row r="4" spans="1:8" ht="30" x14ac:dyDescent="0.25">
      <c r="A4" s="81" t="s">
        <v>278</v>
      </c>
      <c r="B4" s="81" t="s">
        <v>96</v>
      </c>
      <c r="C4" s="81" t="s">
        <v>97</v>
      </c>
      <c r="D4" s="81" t="s">
        <v>75</v>
      </c>
      <c r="E4" s="81">
        <v>88</v>
      </c>
      <c r="F4" s="85">
        <v>549000</v>
      </c>
      <c r="G4" s="85">
        <v>48312000</v>
      </c>
      <c r="H4" s="81"/>
    </row>
    <row r="5" spans="1:8" ht="30" x14ac:dyDescent="0.25">
      <c r="A5" s="81" t="s">
        <v>278</v>
      </c>
      <c r="B5" s="81" t="s">
        <v>94</v>
      </c>
      <c r="C5" s="81" t="s">
        <v>95</v>
      </c>
      <c r="D5" s="81" t="s">
        <v>75</v>
      </c>
      <c r="E5" s="81">
        <v>8</v>
      </c>
      <c r="F5" s="85">
        <v>249000</v>
      </c>
      <c r="G5" s="85">
        <v>1992000</v>
      </c>
      <c r="H5" s="81"/>
    </row>
    <row r="6" spans="1:8" ht="30" x14ac:dyDescent="0.25">
      <c r="A6" s="81" t="s">
        <v>278</v>
      </c>
      <c r="B6" s="81" t="s">
        <v>91</v>
      </c>
      <c r="C6" s="81" t="s">
        <v>92</v>
      </c>
      <c r="D6" s="81" t="s">
        <v>75</v>
      </c>
      <c r="E6" s="81">
        <v>88</v>
      </c>
      <c r="F6" s="85">
        <v>299000</v>
      </c>
      <c r="G6" s="85">
        <v>26312000</v>
      </c>
      <c r="H6" s="81"/>
    </row>
    <row r="7" spans="1:8" ht="45" x14ac:dyDescent="0.25">
      <c r="A7" s="81" t="s">
        <v>280</v>
      </c>
      <c r="B7" s="81" t="s">
        <v>101</v>
      </c>
      <c r="C7" s="81" t="s">
        <v>102</v>
      </c>
      <c r="D7" s="81" t="s">
        <v>75</v>
      </c>
      <c r="E7" s="81">
        <v>11</v>
      </c>
      <c r="F7" s="85">
        <v>99000</v>
      </c>
      <c r="G7" s="85">
        <v>1089000</v>
      </c>
      <c r="H7" s="81"/>
    </row>
    <row r="8" spans="1:8" ht="45" x14ac:dyDescent="0.25">
      <c r="A8" s="81" t="s">
        <v>280</v>
      </c>
      <c r="B8" s="81" t="s">
        <v>104</v>
      </c>
      <c r="C8" s="81" t="s">
        <v>105</v>
      </c>
      <c r="D8" s="81" t="s">
        <v>81</v>
      </c>
      <c r="E8" s="81">
        <v>1</v>
      </c>
      <c r="F8" s="85">
        <v>139000</v>
      </c>
      <c r="G8" s="85">
        <v>139000</v>
      </c>
      <c r="H8" s="81"/>
    </row>
    <row r="9" spans="1:8" ht="45" x14ac:dyDescent="0.25">
      <c r="A9" s="81" t="s">
        <v>280</v>
      </c>
      <c r="B9" s="81" t="s">
        <v>101</v>
      </c>
      <c r="C9" s="81" t="s">
        <v>102</v>
      </c>
      <c r="D9" s="81" t="s">
        <v>75</v>
      </c>
      <c r="E9" s="81">
        <v>1</v>
      </c>
      <c r="F9" s="85">
        <v>99000</v>
      </c>
      <c r="G9" s="85">
        <v>99000</v>
      </c>
      <c r="H9" s="81"/>
    </row>
    <row r="10" spans="1:8" ht="45" x14ac:dyDescent="0.25">
      <c r="A10" s="81" t="s">
        <v>280</v>
      </c>
      <c r="B10" s="81" t="s">
        <v>89</v>
      </c>
      <c r="C10" s="81" t="s">
        <v>90</v>
      </c>
      <c r="D10" s="81" t="s">
        <v>75</v>
      </c>
      <c r="E10" s="81">
        <v>11</v>
      </c>
      <c r="F10" s="85">
        <v>169000</v>
      </c>
      <c r="G10" s="85">
        <v>1859000</v>
      </c>
      <c r="H10" s="81"/>
    </row>
    <row r="11" spans="1:8" ht="30" x14ac:dyDescent="0.25">
      <c r="A11" s="81" t="s">
        <v>282</v>
      </c>
      <c r="B11" s="81" t="s">
        <v>94</v>
      </c>
      <c r="C11" s="81" t="s">
        <v>95</v>
      </c>
      <c r="D11" s="81" t="s">
        <v>75</v>
      </c>
      <c r="E11" s="81">
        <v>222</v>
      </c>
      <c r="F11" s="85">
        <v>249000</v>
      </c>
      <c r="G11" s="85">
        <v>55278000</v>
      </c>
      <c r="H11" s="81"/>
    </row>
    <row r="12" spans="1:8" ht="30" x14ac:dyDescent="0.25">
      <c r="A12" s="81" t="s">
        <v>279</v>
      </c>
      <c r="B12" s="81" t="s">
        <v>96</v>
      </c>
      <c r="C12" s="81" t="s">
        <v>97</v>
      </c>
      <c r="D12" s="81" t="s">
        <v>75</v>
      </c>
      <c r="E12" s="81">
        <v>1</v>
      </c>
      <c r="F12" s="85">
        <v>549000</v>
      </c>
      <c r="G12" s="85">
        <v>549000</v>
      </c>
      <c r="H12" s="81"/>
    </row>
    <row r="13" spans="1:8" ht="30" x14ac:dyDescent="0.25">
      <c r="A13" s="81" t="s">
        <v>279</v>
      </c>
      <c r="B13" s="81" t="s">
        <v>101</v>
      </c>
      <c r="C13" s="81" t="s">
        <v>102</v>
      </c>
      <c r="D13" s="81" t="s">
        <v>75</v>
      </c>
      <c r="E13" s="81">
        <v>111</v>
      </c>
      <c r="F13" s="85">
        <v>99000</v>
      </c>
      <c r="G13" s="85">
        <v>10989000</v>
      </c>
      <c r="H13" s="81"/>
    </row>
    <row r="14" spans="1:8" ht="30" x14ac:dyDescent="0.25">
      <c r="A14" s="81" t="s">
        <v>279</v>
      </c>
      <c r="B14" s="81" t="s">
        <v>101</v>
      </c>
      <c r="C14" s="81" t="s">
        <v>102</v>
      </c>
      <c r="D14" s="81" t="s">
        <v>75</v>
      </c>
      <c r="E14" s="81">
        <v>23</v>
      </c>
      <c r="F14" s="85">
        <v>99000</v>
      </c>
      <c r="G14" s="85">
        <v>2277000</v>
      </c>
      <c r="H14" s="81"/>
    </row>
    <row r="15" spans="1:8" ht="30" x14ac:dyDescent="0.25">
      <c r="A15" s="81" t="s">
        <v>279</v>
      </c>
      <c r="B15" s="81" t="s">
        <v>96</v>
      </c>
      <c r="C15" s="81" t="s">
        <v>97</v>
      </c>
      <c r="D15" s="81" t="s">
        <v>75</v>
      </c>
      <c r="E15" s="81">
        <v>45</v>
      </c>
      <c r="F15" s="85">
        <v>549000</v>
      </c>
      <c r="G15" s="85">
        <v>24705000</v>
      </c>
      <c r="H15" s="81"/>
    </row>
    <row r="16" spans="1:8" ht="30" x14ac:dyDescent="0.25">
      <c r="A16" s="81" t="s">
        <v>279</v>
      </c>
      <c r="B16" s="81" t="s">
        <v>86</v>
      </c>
      <c r="C16" s="81" t="s">
        <v>87</v>
      </c>
      <c r="D16" s="81" t="s">
        <v>75</v>
      </c>
      <c r="E16" s="81">
        <v>33</v>
      </c>
      <c r="F16" s="85">
        <v>125000</v>
      </c>
      <c r="G16" s="85">
        <v>4125000</v>
      </c>
      <c r="H16" s="81"/>
    </row>
    <row r="17" spans="1:8" ht="30" x14ac:dyDescent="0.25">
      <c r="A17" s="81" t="s">
        <v>279</v>
      </c>
      <c r="B17" s="81" t="s">
        <v>96</v>
      </c>
      <c r="C17" s="81" t="s">
        <v>97</v>
      </c>
      <c r="D17" s="81" t="s">
        <v>75</v>
      </c>
      <c r="E17" s="81">
        <v>1</v>
      </c>
      <c r="F17" s="85">
        <v>549000</v>
      </c>
      <c r="G17" s="85">
        <v>549000</v>
      </c>
      <c r="H17" s="81"/>
    </row>
    <row r="18" spans="1:8" ht="30" x14ac:dyDescent="0.25">
      <c r="A18" s="81" t="s">
        <v>281</v>
      </c>
      <c r="B18" s="81" t="s">
        <v>94</v>
      </c>
      <c r="C18" s="81" t="s">
        <v>95</v>
      </c>
      <c r="D18" s="81" t="s">
        <v>75</v>
      </c>
      <c r="E18" s="81">
        <v>11</v>
      </c>
      <c r="F18" s="85">
        <v>249000</v>
      </c>
      <c r="G18" s="85">
        <v>2739000</v>
      </c>
      <c r="H18" s="81"/>
    </row>
    <row r="19" spans="1:8" ht="30" x14ac:dyDescent="0.25">
      <c r="A19" s="81" t="s">
        <v>281</v>
      </c>
      <c r="B19" s="81" t="s">
        <v>96</v>
      </c>
      <c r="C19" s="81" t="s">
        <v>97</v>
      </c>
      <c r="D19" s="81" t="s">
        <v>75</v>
      </c>
      <c r="E19" s="81">
        <v>2</v>
      </c>
      <c r="F19" s="85">
        <v>549000</v>
      </c>
      <c r="G19" s="85">
        <v>1098000</v>
      </c>
      <c r="H19" s="81"/>
    </row>
    <row r="20" spans="1:8" ht="30" x14ac:dyDescent="0.25">
      <c r="A20" s="81" t="s">
        <v>281</v>
      </c>
      <c r="B20" s="81" t="s">
        <v>86</v>
      </c>
      <c r="C20" s="81" t="s">
        <v>87</v>
      </c>
      <c r="D20" s="81" t="s">
        <v>75</v>
      </c>
      <c r="E20" s="81">
        <v>1</v>
      </c>
      <c r="F20" s="85">
        <v>125000</v>
      </c>
      <c r="G20" s="85">
        <v>125000</v>
      </c>
      <c r="H20" s="81"/>
    </row>
    <row r="21" spans="1:8" ht="30" x14ac:dyDescent="0.25">
      <c r="A21" s="81" t="s">
        <v>281</v>
      </c>
      <c r="B21" s="81" t="s">
        <v>99</v>
      </c>
      <c r="C21" s="81" t="s">
        <v>100</v>
      </c>
      <c r="D21" s="81" t="s">
        <v>75</v>
      </c>
      <c r="E21" s="81">
        <v>1</v>
      </c>
      <c r="F21" s="85">
        <v>449000</v>
      </c>
      <c r="G21" s="85">
        <v>449000</v>
      </c>
      <c r="H21" s="81"/>
    </row>
    <row r="22" spans="1:8" ht="30" x14ac:dyDescent="0.25">
      <c r="A22" s="81" t="s">
        <v>276</v>
      </c>
      <c r="B22" s="81" t="s">
        <v>78</v>
      </c>
      <c r="C22" s="81" t="s">
        <v>79</v>
      </c>
      <c r="D22" s="81" t="s">
        <v>81</v>
      </c>
      <c r="E22" s="81">
        <v>1</v>
      </c>
      <c r="F22" s="85">
        <v>189000</v>
      </c>
      <c r="G22" s="85">
        <v>189000</v>
      </c>
      <c r="H22" s="81"/>
    </row>
    <row r="23" spans="1:8" ht="30" x14ac:dyDescent="0.25">
      <c r="A23" s="81" t="s">
        <v>276</v>
      </c>
      <c r="B23" s="81" t="s">
        <v>82</v>
      </c>
      <c r="C23" s="81" t="s">
        <v>83</v>
      </c>
      <c r="D23" s="81" t="s">
        <v>75</v>
      </c>
      <c r="E23" s="81">
        <v>5</v>
      </c>
      <c r="F23" s="85">
        <v>129000</v>
      </c>
      <c r="G23" s="85">
        <v>645000</v>
      </c>
      <c r="H23" s="81"/>
    </row>
    <row r="24" spans="1:8" ht="45" x14ac:dyDescent="0.25">
      <c r="A24" s="81" t="s">
        <v>287</v>
      </c>
      <c r="B24" s="81" t="s">
        <v>78</v>
      </c>
      <c r="C24" s="81" t="s">
        <v>79</v>
      </c>
      <c r="D24" s="81" t="s">
        <v>81</v>
      </c>
      <c r="E24" s="81">
        <v>1</v>
      </c>
      <c r="F24" s="85">
        <v>189000</v>
      </c>
      <c r="G24" s="85">
        <v>189000</v>
      </c>
      <c r="H24" s="81"/>
    </row>
    <row r="25" spans="1:8" ht="45" x14ac:dyDescent="0.25">
      <c r="A25" s="81" t="s">
        <v>287</v>
      </c>
      <c r="B25" s="81" t="s">
        <v>82</v>
      </c>
      <c r="C25" s="81" t="s">
        <v>83</v>
      </c>
      <c r="D25" s="81" t="s">
        <v>75</v>
      </c>
      <c r="E25" s="81">
        <v>1</v>
      </c>
      <c r="F25" s="85">
        <v>129000</v>
      </c>
      <c r="G25" s="85">
        <v>129000</v>
      </c>
      <c r="H25" s="81"/>
    </row>
    <row r="26" spans="1:8" ht="45" x14ac:dyDescent="0.25">
      <c r="A26" s="81" t="s">
        <v>287</v>
      </c>
      <c r="B26" s="81" t="s">
        <v>84</v>
      </c>
      <c r="C26" s="81" t="s">
        <v>85</v>
      </c>
      <c r="D26" s="81" t="s">
        <v>75</v>
      </c>
      <c r="E26" s="81">
        <v>1</v>
      </c>
      <c r="F26" s="85">
        <v>159000</v>
      </c>
      <c r="G26" s="85">
        <v>159000</v>
      </c>
      <c r="H26" s="81"/>
    </row>
    <row r="27" spans="1:8" x14ac:dyDescent="0.25">
      <c r="A27" s="81"/>
      <c r="B27" s="81"/>
      <c r="C27" s="82"/>
      <c r="D27" s="82"/>
      <c r="E27" s="82"/>
      <c r="F27" s="86"/>
      <c r="G27" s="86"/>
      <c r="H27" s="82"/>
    </row>
    <row r="28" spans="1:8" x14ac:dyDescent="0.25">
      <c r="A28" s="83"/>
      <c r="B28" s="83"/>
      <c r="C28" s="82"/>
      <c r="D28" s="82"/>
      <c r="E28" s="82"/>
      <c r="F28" s="86"/>
      <c r="G28" s="86"/>
      <c r="H28" s="82"/>
    </row>
    <row r="29" spans="1:8" x14ac:dyDescent="0.25">
      <c r="A29" s="83"/>
      <c r="B29" s="83"/>
      <c r="C29" s="82"/>
      <c r="D29" s="82"/>
      <c r="E29" s="82"/>
      <c r="F29" s="86"/>
      <c r="G29" s="86"/>
      <c r="H29" s="82"/>
    </row>
    <row r="30" spans="1:8" x14ac:dyDescent="0.25">
      <c r="A30" s="83"/>
      <c r="B30" s="83"/>
      <c r="C30" s="82"/>
      <c r="D30" s="82"/>
      <c r="E30" s="82"/>
      <c r="F30" s="86"/>
      <c r="G30" s="86"/>
      <c r="H30" s="82"/>
    </row>
    <row r="31" spans="1:8" x14ac:dyDescent="0.25">
      <c r="A31" s="83"/>
      <c r="B31" s="83"/>
      <c r="C31" s="82"/>
      <c r="D31" s="82"/>
      <c r="E31" s="82"/>
      <c r="F31" s="86"/>
      <c r="G31" s="86"/>
      <c r="H31" s="82"/>
    </row>
    <row r="32" spans="1:8" x14ac:dyDescent="0.25">
      <c r="A32" s="83"/>
      <c r="B32" s="83"/>
      <c r="C32" s="82"/>
      <c r="D32" s="82"/>
      <c r="E32" s="82"/>
      <c r="F32" s="86"/>
      <c r="G32" s="86"/>
      <c r="H32" s="82"/>
    </row>
    <row r="33" spans="1:8" x14ac:dyDescent="0.25">
      <c r="A33" s="83"/>
      <c r="B33" s="83"/>
      <c r="C33" s="82"/>
      <c r="D33" s="82"/>
      <c r="E33" s="82"/>
      <c r="F33" s="86"/>
      <c r="G33" s="86"/>
      <c r="H33" s="82"/>
    </row>
    <row r="34" spans="1:8" x14ac:dyDescent="0.25">
      <c r="A34" s="83"/>
      <c r="B34" s="83"/>
      <c r="C34" s="82"/>
      <c r="D34" s="82"/>
      <c r="E34" s="82"/>
      <c r="F34" s="86"/>
      <c r="G34" s="86"/>
      <c r="H34" s="82"/>
    </row>
    <row r="35" spans="1:8" x14ac:dyDescent="0.25">
      <c r="A35" s="83"/>
      <c r="B35" s="83"/>
      <c r="C35" s="82"/>
      <c r="D35" s="82"/>
      <c r="E35" s="82"/>
      <c r="F35" s="86"/>
      <c r="G35" s="86"/>
      <c r="H35" s="8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59" t="s">
        <v>65</v>
      </c>
      <c r="B1" s="59" t="s">
        <v>66</v>
      </c>
      <c r="C1" s="59" t="s">
        <v>67</v>
      </c>
      <c r="D1" s="59" t="s">
        <v>68</v>
      </c>
      <c r="E1" s="61" t="s">
        <v>69</v>
      </c>
      <c r="F1" s="61" t="s">
        <v>70</v>
      </c>
      <c r="G1" s="61" t="s">
        <v>71</v>
      </c>
    </row>
    <row r="2" spans="1:7" x14ac:dyDescent="0.25">
      <c r="A2" s="62" t="s">
        <v>72</v>
      </c>
      <c r="B2" s="62" t="s">
        <v>73</v>
      </c>
      <c r="C2" s="62" t="s">
        <v>74</v>
      </c>
      <c r="D2" s="62" t="s">
        <v>75</v>
      </c>
      <c r="E2" s="63">
        <v>85000</v>
      </c>
      <c r="F2" s="63">
        <v>149000</v>
      </c>
      <c r="G2" s="60">
        <v>45</v>
      </c>
    </row>
    <row r="3" spans="1:7" ht="30" x14ac:dyDescent="0.25">
      <c r="A3" s="62" t="s">
        <v>76</v>
      </c>
      <c r="B3" s="62" t="s">
        <v>77</v>
      </c>
      <c r="C3" s="62" t="s">
        <v>74</v>
      </c>
      <c r="D3" s="62" t="s">
        <v>75</v>
      </c>
      <c r="E3" s="63">
        <v>65000</v>
      </c>
      <c r="F3" s="63">
        <v>119000</v>
      </c>
      <c r="G3" s="60">
        <v>32</v>
      </c>
    </row>
    <row r="4" spans="1:7" x14ac:dyDescent="0.25">
      <c r="A4" s="62" t="s">
        <v>78</v>
      </c>
      <c r="B4" s="62" t="s">
        <v>79</v>
      </c>
      <c r="C4" s="62" t="s">
        <v>80</v>
      </c>
      <c r="D4" s="62" t="s">
        <v>81</v>
      </c>
      <c r="E4" s="63">
        <v>110000</v>
      </c>
      <c r="F4" s="63">
        <v>189000</v>
      </c>
      <c r="G4" s="60">
        <v>28</v>
      </c>
    </row>
    <row r="5" spans="1:7" x14ac:dyDescent="0.25">
      <c r="A5" s="62" t="s">
        <v>82</v>
      </c>
      <c r="B5" s="62" t="s">
        <v>83</v>
      </c>
      <c r="C5" s="62" t="s">
        <v>80</v>
      </c>
      <c r="D5" s="62" t="s">
        <v>75</v>
      </c>
      <c r="E5" s="63">
        <v>75000</v>
      </c>
      <c r="F5" s="63">
        <v>129000</v>
      </c>
      <c r="G5" s="60">
        <v>37</v>
      </c>
    </row>
    <row r="6" spans="1:7" x14ac:dyDescent="0.25">
      <c r="A6" s="62" t="s">
        <v>84</v>
      </c>
      <c r="B6" s="62" t="s">
        <v>85</v>
      </c>
      <c r="C6" s="62" t="s">
        <v>80</v>
      </c>
      <c r="D6" s="62" t="s">
        <v>75</v>
      </c>
      <c r="E6" s="63">
        <v>90000</v>
      </c>
      <c r="F6" s="63">
        <v>159000</v>
      </c>
      <c r="G6" s="60">
        <v>50</v>
      </c>
    </row>
    <row r="7" spans="1:7" x14ac:dyDescent="0.25">
      <c r="A7" s="62" t="s">
        <v>86</v>
      </c>
      <c r="B7" s="62" t="s">
        <v>87</v>
      </c>
      <c r="C7" s="62" t="s">
        <v>88</v>
      </c>
      <c r="D7" s="62" t="s">
        <v>75</v>
      </c>
      <c r="E7" s="63">
        <v>70000</v>
      </c>
      <c r="F7" s="63">
        <v>125000</v>
      </c>
      <c r="G7" s="60">
        <v>41</v>
      </c>
    </row>
    <row r="8" spans="1:7" x14ac:dyDescent="0.25">
      <c r="A8" s="62" t="s">
        <v>89</v>
      </c>
      <c r="B8" s="62" t="s">
        <v>90</v>
      </c>
      <c r="C8" s="62" t="s">
        <v>88</v>
      </c>
      <c r="D8" s="62" t="s">
        <v>75</v>
      </c>
      <c r="E8" s="63">
        <v>95000</v>
      </c>
      <c r="F8" s="63">
        <v>169000</v>
      </c>
      <c r="G8" s="60">
        <v>25</v>
      </c>
    </row>
    <row r="9" spans="1:7" x14ac:dyDescent="0.25">
      <c r="A9" s="62" t="s">
        <v>91</v>
      </c>
      <c r="B9" s="62" t="s">
        <v>92</v>
      </c>
      <c r="C9" s="62" t="s">
        <v>93</v>
      </c>
      <c r="D9" s="62" t="s">
        <v>75</v>
      </c>
      <c r="E9" s="63">
        <v>175000</v>
      </c>
      <c r="F9" s="63">
        <v>299000</v>
      </c>
      <c r="G9" s="60">
        <v>17</v>
      </c>
    </row>
    <row r="10" spans="1:7" x14ac:dyDescent="0.25">
      <c r="A10" s="62" t="s">
        <v>94</v>
      </c>
      <c r="B10" s="62" t="s">
        <v>95</v>
      </c>
      <c r="C10" s="62" t="s">
        <v>93</v>
      </c>
      <c r="D10" s="62" t="s">
        <v>75</v>
      </c>
      <c r="E10" s="63">
        <v>145000</v>
      </c>
      <c r="F10" s="63">
        <v>249000</v>
      </c>
      <c r="G10" s="60">
        <v>23</v>
      </c>
    </row>
    <row r="11" spans="1:7" x14ac:dyDescent="0.25">
      <c r="A11" s="62" t="s">
        <v>96</v>
      </c>
      <c r="B11" s="62" t="s">
        <v>97</v>
      </c>
      <c r="C11" s="62" t="s">
        <v>98</v>
      </c>
      <c r="D11" s="62" t="s">
        <v>75</v>
      </c>
      <c r="E11" s="63">
        <v>325000</v>
      </c>
      <c r="F11" s="63">
        <v>549000</v>
      </c>
      <c r="G11" s="60">
        <v>12</v>
      </c>
    </row>
    <row r="12" spans="1:7" x14ac:dyDescent="0.25">
      <c r="A12" s="62" t="s">
        <v>99</v>
      </c>
      <c r="B12" s="62" t="s">
        <v>100</v>
      </c>
      <c r="C12" s="62" t="s">
        <v>98</v>
      </c>
      <c r="D12" s="62" t="s">
        <v>75</v>
      </c>
      <c r="E12" s="63">
        <v>260000</v>
      </c>
      <c r="F12" s="63">
        <v>449000</v>
      </c>
      <c r="G12" s="60">
        <v>15</v>
      </c>
    </row>
    <row r="13" spans="1:7" x14ac:dyDescent="0.25">
      <c r="A13" s="62" t="s">
        <v>101</v>
      </c>
      <c r="B13" s="62" t="s">
        <v>102</v>
      </c>
      <c r="C13" s="62" t="s">
        <v>103</v>
      </c>
      <c r="D13" s="62" t="s">
        <v>75</v>
      </c>
      <c r="E13" s="63">
        <v>55000</v>
      </c>
      <c r="F13" s="63">
        <v>99000</v>
      </c>
      <c r="G13" s="60">
        <v>60</v>
      </c>
    </row>
    <row r="14" spans="1:7" x14ac:dyDescent="0.25">
      <c r="A14" s="62" t="s">
        <v>104</v>
      </c>
      <c r="B14" s="62" t="s">
        <v>105</v>
      </c>
      <c r="C14" s="62" t="s">
        <v>103</v>
      </c>
      <c r="D14" s="62" t="s">
        <v>81</v>
      </c>
      <c r="E14" s="63">
        <v>80000</v>
      </c>
      <c r="F14" s="63">
        <v>139000</v>
      </c>
      <c r="G14" s="60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27" customWidth="1"/>
    <col min="2" max="2" width="14.5703125" style="27" customWidth="1"/>
    <col min="3" max="3" width="5.85546875" style="27" customWidth="1"/>
    <col min="4" max="4" width="3" style="28" customWidth="1"/>
    <col min="5" max="5" width="2.7109375" style="28" customWidth="1"/>
    <col min="6" max="16384" width="9.140625" style="28"/>
  </cols>
  <sheetData>
    <row r="1" spans="1:10" s="26" customFormat="1" ht="8.25" customHeight="1" x14ac:dyDescent="0.25">
      <c r="A1" s="31"/>
      <c r="B1" s="31"/>
      <c r="C1" s="31"/>
    </row>
    <row r="2" spans="1:10" s="26" customFormat="1" ht="28.5" customHeight="1" x14ac:dyDescent="0.55000000000000004">
      <c r="A2" s="31"/>
      <c r="B2" s="31"/>
      <c r="C2" s="31"/>
      <c r="F2" s="30"/>
      <c r="G2" s="29"/>
      <c r="H2" s="29"/>
      <c r="I2" s="29"/>
      <c r="J2" s="29"/>
    </row>
    <row r="3" spans="1:10" s="26" customFormat="1" ht="6.75" customHeight="1" x14ac:dyDescent="0.25">
      <c r="A3" s="31"/>
      <c r="B3" s="31"/>
      <c r="C3" s="3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27" customWidth="1"/>
    <col min="2" max="2" width="14.5703125" style="27" customWidth="1"/>
    <col min="3" max="3" width="5.85546875" style="27" customWidth="1"/>
    <col min="4" max="4" width="3" style="28" customWidth="1"/>
    <col min="5" max="5" width="2.7109375" style="28" customWidth="1"/>
    <col min="6" max="16384" width="9.140625" style="28"/>
  </cols>
  <sheetData>
    <row r="1" spans="1:10" s="26" customFormat="1" ht="8.25" customHeight="1" x14ac:dyDescent="0.25">
      <c r="A1" s="31"/>
      <c r="B1" s="31"/>
      <c r="C1" s="31"/>
    </row>
    <row r="2" spans="1:10" s="26" customFormat="1" ht="28.5" customHeight="1" x14ac:dyDescent="0.55000000000000004">
      <c r="A2" s="31"/>
      <c r="B2" s="31"/>
      <c r="C2" s="31"/>
      <c r="F2" s="30"/>
      <c r="G2" s="29"/>
      <c r="H2" s="29"/>
      <c r="I2" s="29"/>
      <c r="J2" s="29"/>
    </row>
    <row r="3" spans="1:10" s="26" customFormat="1" ht="6.75" customHeight="1" x14ac:dyDescent="0.25">
      <c r="A3" s="31"/>
      <c r="B3" s="31"/>
      <c r="C3" s="3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topLeftCell="A1048541"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32</v>
      </c>
      <c r="B1" t="s">
        <v>27</v>
      </c>
      <c r="C1" t="s">
        <v>28</v>
      </c>
      <c r="D1" t="s">
        <v>31</v>
      </c>
      <c r="E1" t="s">
        <v>29</v>
      </c>
      <c r="F1" t="s">
        <v>30</v>
      </c>
      <c r="G1" s="1" t="s">
        <v>15</v>
      </c>
      <c r="H1" t="s">
        <v>16</v>
      </c>
    </row>
    <row r="2" spans="1:8" x14ac:dyDescent="0.25">
      <c r="A2" t="s">
        <v>33</v>
      </c>
      <c r="B2" t="s">
        <v>35</v>
      </c>
      <c r="C2" t="s">
        <v>38</v>
      </c>
      <c r="D2" t="s">
        <v>36</v>
      </c>
      <c r="E2" t="s">
        <v>39</v>
      </c>
      <c r="F2" t="s">
        <v>37</v>
      </c>
      <c r="G2" s="1">
        <v>81278856758</v>
      </c>
      <c r="H2" s="21" t="s">
        <v>34</v>
      </c>
    </row>
    <row r="3" spans="1:8" x14ac:dyDescent="0.25">
      <c r="A3" t="s">
        <v>109</v>
      </c>
      <c r="B3" t="s">
        <v>110</v>
      </c>
      <c r="C3" t="s">
        <v>111</v>
      </c>
      <c r="D3" t="s">
        <v>112</v>
      </c>
      <c r="E3" t="s">
        <v>39</v>
      </c>
      <c r="F3" t="s">
        <v>113</v>
      </c>
      <c r="G3" s="1">
        <v>81234567001</v>
      </c>
      <c r="H3" t="s">
        <v>114</v>
      </c>
    </row>
    <row r="4" spans="1:8" x14ac:dyDescent="0.25">
      <c r="A4" t="s">
        <v>115</v>
      </c>
      <c r="B4" t="s">
        <v>116</v>
      </c>
      <c r="C4" t="s">
        <v>117</v>
      </c>
      <c r="D4" t="s">
        <v>118</v>
      </c>
      <c r="E4" t="s">
        <v>119</v>
      </c>
      <c r="F4" t="s">
        <v>120</v>
      </c>
      <c r="G4" s="1">
        <v>81234567002</v>
      </c>
      <c r="H4" t="s">
        <v>121</v>
      </c>
    </row>
    <row r="5" spans="1:8" x14ac:dyDescent="0.25">
      <c r="A5" t="s">
        <v>122</v>
      </c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s="1">
        <v>81234567003</v>
      </c>
      <c r="H5" t="s">
        <v>128</v>
      </c>
    </row>
    <row r="6" spans="1:8" x14ac:dyDescent="0.25">
      <c r="A6" t="s">
        <v>129</v>
      </c>
      <c r="B6" t="s">
        <v>130</v>
      </c>
      <c r="C6" t="s">
        <v>131</v>
      </c>
      <c r="D6" t="s">
        <v>132</v>
      </c>
      <c r="E6" t="s">
        <v>39</v>
      </c>
      <c r="F6" t="s">
        <v>133</v>
      </c>
      <c r="G6" s="1">
        <v>81234567004</v>
      </c>
      <c r="H6" t="s">
        <v>134</v>
      </c>
    </row>
    <row r="7" spans="1:8" x14ac:dyDescent="0.25">
      <c r="A7" t="s">
        <v>135</v>
      </c>
      <c r="B7" t="s">
        <v>136</v>
      </c>
      <c r="C7" t="s">
        <v>137</v>
      </c>
      <c r="D7" t="s">
        <v>138</v>
      </c>
      <c r="E7" t="s">
        <v>139</v>
      </c>
      <c r="F7" t="s">
        <v>140</v>
      </c>
      <c r="G7" s="1">
        <v>81234567005</v>
      </c>
      <c r="H7" t="s">
        <v>141</v>
      </c>
    </row>
    <row r="8" spans="1:8" x14ac:dyDescent="0.25">
      <c r="A8" t="s">
        <v>142</v>
      </c>
      <c r="B8" t="s">
        <v>143</v>
      </c>
      <c r="C8" t="s">
        <v>144</v>
      </c>
      <c r="D8" t="s">
        <v>145</v>
      </c>
      <c r="E8" t="s">
        <v>139</v>
      </c>
      <c r="F8" t="s">
        <v>146</v>
      </c>
      <c r="G8" s="1">
        <v>81234567006</v>
      </c>
      <c r="H8" t="s">
        <v>147</v>
      </c>
    </row>
    <row r="9" spans="1:8" x14ac:dyDescent="0.25">
      <c r="A9" t="s">
        <v>148</v>
      </c>
      <c r="B9" t="s">
        <v>149</v>
      </c>
      <c r="C9" t="s">
        <v>150</v>
      </c>
      <c r="D9" t="s">
        <v>151</v>
      </c>
      <c r="E9" t="s">
        <v>152</v>
      </c>
      <c r="F9" t="s">
        <v>153</v>
      </c>
      <c r="G9" s="1">
        <v>81234567007</v>
      </c>
      <c r="H9" t="s">
        <v>154</v>
      </c>
    </row>
    <row r="10" spans="1:8" x14ac:dyDescent="0.25">
      <c r="A10" t="s">
        <v>155</v>
      </c>
      <c r="B10" t="s">
        <v>156</v>
      </c>
      <c r="C10" t="s">
        <v>157</v>
      </c>
      <c r="D10" t="s">
        <v>158</v>
      </c>
      <c r="E10" t="s">
        <v>159</v>
      </c>
      <c r="F10" t="s">
        <v>160</v>
      </c>
      <c r="G10" s="1">
        <v>81234567008</v>
      </c>
      <c r="H10" t="s">
        <v>161</v>
      </c>
    </row>
    <row r="11" spans="1:8" x14ac:dyDescent="0.25">
      <c r="A11" t="s">
        <v>162</v>
      </c>
      <c r="B11" t="s">
        <v>163</v>
      </c>
      <c r="C11" t="s">
        <v>164</v>
      </c>
      <c r="D11" t="s">
        <v>165</v>
      </c>
      <c r="E11" t="s">
        <v>166</v>
      </c>
      <c r="F11" t="s">
        <v>167</v>
      </c>
      <c r="G11" s="1">
        <v>81234567009</v>
      </c>
      <c r="H11" t="s">
        <v>168</v>
      </c>
    </row>
    <row r="12" spans="1:8" x14ac:dyDescent="0.25">
      <c r="A12" t="s">
        <v>169</v>
      </c>
      <c r="B12" t="s">
        <v>170</v>
      </c>
      <c r="C12" t="s">
        <v>117</v>
      </c>
      <c r="D12" t="s">
        <v>171</v>
      </c>
      <c r="E12" t="s">
        <v>172</v>
      </c>
      <c r="F12" t="s">
        <v>173</v>
      </c>
      <c r="G12" s="1">
        <v>81234567010</v>
      </c>
      <c r="H12" t="s">
        <v>174</v>
      </c>
    </row>
    <row r="13" spans="1:8" x14ac:dyDescent="0.25">
      <c r="A13" t="s">
        <v>175</v>
      </c>
      <c r="B13" t="s">
        <v>176</v>
      </c>
      <c r="C13" t="s">
        <v>177</v>
      </c>
      <c r="D13" t="s">
        <v>178</v>
      </c>
      <c r="E13" t="s">
        <v>172</v>
      </c>
      <c r="F13" t="s">
        <v>179</v>
      </c>
      <c r="G13" s="1">
        <v>81234567011</v>
      </c>
      <c r="H13" t="s">
        <v>180</v>
      </c>
    </row>
    <row r="14" spans="1:8" x14ac:dyDescent="0.25">
      <c r="A14" t="s">
        <v>181</v>
      </c>
      <c r="B14" t="s">
        <v>182</v>
      </c>
      <c r="C14" t="s">
        <v>183</v>
      </c>
      <c r="D14" t="s">
        <v>184</v>
      </c>
      <c r="E14" t="s">
        <v>185</v>
      </c>
      <c r="F14" t="s">
        <v>186</v>
      </c>
      <c r="G14" s="1">
        <v>81234567012</v>
      </c>
      <c r="H14" t="s">
        <v>187</v>
      </c>
    </row>
    <row r="15" spans="1:8" x14ac:dyDescent="0.25">
      <c r="A15" t="s">
        <v>188</v>
      </c>
      <c r="B15" t="s">
        <v>189</v>
      </c>
      <c r="C15" t="s">
        <v>190</v>
      </c>
      <c r="D15" t="s">
        <v>191</v>
      </c>
      <c r="E15" t="s">
        <v>185</v>
      </c>
      <c r="F15" t="s">
        <v>192</v>
      </c>
      <c r="G15" s="1">
        <v>81234567013</v>
      </c>
      <c r="H15" t="s">
        <v>193</v>
      </c>
    </row>
    <row r="16" spans="1:8" x14ac:dyDescent="0.25">
      <c r="A16" t="s">
        <v>194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s="1">
        <v>81234567014</v>
      </c>
      <c r="H16" t="s">
        <v>200</v>
      </c>
    </row>
    <row r="17" spans="1:8" x14ac:dyDescent="0.25">
      <c r="A17" t="s">
        <v>201</v>
      </c>
      <c r="B17" t="s">
        <v>202</v>
      </c>
      <c r="C17" t="s">
        <v>203</v>
      </c>
      <c r="D17" t="s">
        <v>204</v>
      </c>
      <c r="E17" t="s">
        <v>205</v>
      </c>
      <c r="F17" t="s">
        <v>206</v>
      </c>
      <c r="G17" s="1">
        <v>81234567015</v>
      </c>
      <c r="H17" t="s">
        <v>207</v>
      </c>
    </row>
    <row r="18" spans="1:8" x14ac:dyDescent="0.25">
      <c r="A18" t="s">
        <v>208</v>
      </c>
      <c r="B18" t="s">
        <v>209</v>
      </c>
      <c r="C18" t="s">
        <v>210</v>
      </c>
      <c r="D18" t="s">
        <v>211</v>
      </c>
      <c r="E18" t="s">
        <v>212</v>
      </c>
      <c r="F18" t="s">
        <v>213</v>
      </c>
      <c r="G18" s="1">
        <v>81234567016</v>
      </c>
      <c r="H18" t="s">
        <v>214</v>
      </c>
    </row>
    <row r="19" spans="1:8" x14ac:dyDescent="0.25">
      <c r="A19" t="s">
        <v>215</v>
      </c>
      <c r="B19" t="s">
        <v>216</v>
      </c>
      <c r="C19" t="s">
        <v>217</v>
      </c>
      <c r="D19" t="s">
        <v>218</v>
      </c>
      <c r="E19" t="s">
        <v>219</v>
      </c>
      <c r="F19" t="s">
        <v>220</v>
      </c>
      <c r="G19" s="1">
        <v>81234567017</v>
      </c>
      <c r="H19" t="s">
        <v>221</v>
      </c>
    </row>
    <row r="20" spans="1:8" x14ac:dyDescent="0.25">
      <c r="A20" t="s">
        <v>222</v>
      </c>
      <c r="B20" t="s">
        <v>223</v>
      </c>
      <c r="C20" t="s">
        <v>224</v>
      </c>
      <c r="D20" t="s">
        <v>225</v>
      </c>
      <c r="E20" t="s">
        <v>226</v>
      </c>
      <c r="F20" t="s">
        <v>227</v>
      </c>
      <c r="G20" s="1">
        <v>81234567018</v>
      </c>
      <c r="H20" t="s">
        <v>228</v>
      </c>
    </row>
    <row r="21" spans="1:8" x14ac:dyDescent="0.25">
      <c r="A21" t="s">
        <v>229</v>
      </c>
      <c r="B21" t="s">
        <v>230</v>
      </c>
      <c r="C21" t="s">
        <v>231</v>
      </c>
      <c r="D21" t="s">
        <v>232</v>
      </c>
      <c r="E21" t="s">
        <v>233</v>
      </c>
      <c r="F21" t="s">
        <v>234</v>
      </c>
      <c r="G21" s="1">
        <v>81234567019</v>
      </c>
      <c r="H21" t="s">
        <v>235</v>
      </c>
    </row>
    <row r="22" spans="1:8" x14ac:dyDescent="0.25">
      <c r="A22" t="s">
        <v>236</v>
      </c>
      <c r="B22" t="s">
        <v>237</v>
      </c>
      <c r="C22" t="s">
        <v>238</v>
      </c>
      <c r="D22" t="s">
        <v>239</v>
      </c>
      <c r="E22" t="s">
        <v>240</v>
      </c>
      <c r="F22" t="s">
        <v>241</v>
      </c>
      <c r="G22" s="1">
        <v>81234567020</v>
      </c>
      <c r="H22" t="s">
        <v>242</v>
      </c>
    </row>
    <row r="23" spans="1:8" x14ac:dyDescent="0.25">
      <c r="A23" t="s">
        <v>243</v>
      </c>
      <c r="B23" t="s">
        <v>244</v>
      </c>
      <c r="C23" t="s">
        <v>245</v>
      </c>
      <c r="D23" t="s">
        <v>246</v>
      </c>
      <c r="E23" t="s">
        <v>247</v>
      </c>
      <c r="F23" t="s">
        <v>248</v>
      </c>
      <c r="G23" s="1">
        <v>81234567021</v>
      </c>
      <c r="H23" t="s">
        <v>249</v>
      </c>
    </row>
    <row r="24" spans="1:8" x14ac:dyDescent="0.25">
      <c r="A24" t="s">
        <v>250</v>
      </c>
      <c r="B24" t="s">
        <v>251</v>
      </c>
      <c r="C24" t="s">
        <v>252</v>
      </c>
      <c r="D24" t="s">
        <v>253</v>
      </c>
      <c r="E24" t="s">
        <v>254</v>
      </c>
      <c r="F24" t="s">
        <v>255</v>
      </c>
      <c r="G24" s="1">
        <v>81234567022</v>
      </c>
      <c r="H24" t="s">
        <v>256</v>
      </c>
    </row>
    <row r="25" spans="1:8" x14ac:dyDescent="0.25">
      <c r="A25" t="s">
        <v>257</v>
      </c>
      <c r="B25" t="s">
        <v>258</v>
      </c>
      <c r="C25" t="s">
        <v>259</v>
      </c>
      <c r="D25" t="s">
        <v>260</v>
      </c>
      <c r="E25" t="s">
        <v>261</v>
      </c>
      <c r="F25" t="s">
        <v>262</v>
      </c>
      <c r="G25" s="1">
        <v>81234567023</v>
      </c>
      <c r="H25" t="s">
        <v>263</v>
      </c>
    </row>
    <row r="26" spans="1:8" x14ac:dyDescent="0.25">
      <c r="A26" t="s">
        <v>264</v>
      </c>
      <c r="B26" t="s">
        <v>265</v>
      </c>
      <c r="C26" t="s">
        <v>266</v>
      </c>
      <c r="D26" t="s">
        <v>267</v>
      </c>
      <c r="E26" t="s">
        <v>268</v>
      </c>
      <c r="F26" t="s">
        <v>269</v>
      </c>
      <c r="G26" s="1">
        <v>81234567024</v>
      </c>
      <c r="H26" t="s">
        <v>270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Create Invoice</vt:lpstr>
      <vt:lpstr>Invoice Template</vt:lpstr>
      <vt:lpstr>Invoice Database</vt:lpstr>
      <vt:lpstr>Invoice Details</vt:lpstr>
      <vt:lpstr>Product Database</vt:lpstr>
      <vt:lpstr>Manage Customer</vt:lpstr>
      <vt:lpstr>Manage Product</vt:lpstr>
      <vt:lpstr>Customer Database</vt:lpstr>
      <vt:lpstr>Dashboard!cust_name</vt:lpstr>
      <vt:lpstr>cust_name</vt:lpstr>
      <vt:lpstr>'Invoice Template'!Print_Area</vt:lpstr>
      <vt:lpstr>selectedCust</vt:lpstr>
      <vt:lpstr>SelectedInvoice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2026-08-29T13:18:05Z</cp:lastPrinted>
  <dcterms:created xsi:type="dcterms:W3CDTF">2026-08-23T04:04:34Z</dcterms:created>
  <dcterms:modified xsi:type="dcterms:W3CDTF">2026-08-29T13:18:23Z</dcterms:modified>
</cp:coreProperties>
</file>